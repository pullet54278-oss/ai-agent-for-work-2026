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aster_Data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Weight_Samples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Sales_Data" sheetId="8" state="visible" r:id="rId8"/>
    <sheet xmlns:r="http://schemas.openxmlformats.org/officeDocument/2006/relationships" name="Product_Master" sheetId="9" state="visible" r:id="rId9"/>
    <sheet xmlns:r="http://schemas.openxmlformats.org/officeDocument/2006/relationships" name="Farm_Performance" sheetId="10" state="visible" r:id="rId10"/>
    <sheet xmlns:r="http://schemas.openxmlformats.org/officeDocument/2006/relationships" name="M365_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"/>
    <numFmt numFmtId="166" formatCode="0.000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A2233"/>
      <sz val="14"/>
    </font>
    <font>
      <i val="1"/>
      <color rgb="005A6275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2557E0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0" fillId="2" borderId="1" pivotButton="0" quotePrefix="0" xfId="0"/>
    <xf numFmtId="3" fontId="0" fillId="2" borderId="1" pivotButton="0" quotePrefix="0" xfId="0"/>
    <xf numFmtId="0" fontId="0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0" fontId="0" fillId="2" borderId="0" pivotButton="0" quotePrefix="0" xfId="0"/>
    <xf numFmtId="0" fontId="5" fillId="0" borderId="0" pivotButton="0" quotePrefix="0" xfId="0"/>
    <xf numFmtId="167" fontId="0" fillId="4" borderId="1" pivotButton="0" quotePrefix="0" xfId="0"/>
    <xf numFmtId="1" fontId="0" fillId="4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DE7E9"/>
        </patternFill>
      </fill>
    </dxf>
    <dxf>
      <fill>
        <patternFill patternType="solid">
          <fgColor rgb="00FFF4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Body Weight (g) ตามอายุ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'Dashboard'!$E$5:$E$10</f>
            </numRef>
          </cat>
          <val>
            <numRef>
              <f>'Dashboard'!$F$5:$F$10</f>
            </numRef>
          </val>
        </ser>
        <ser>
          <idx val="1"/>
          <order val="1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'Dashboard'!$E$5:$E$10</f>
            </numRef>
          </cat>
          <val>
            <numRef>
              <f>'Dashboard'!$G$5:$G$10</f>
            </numRef>
          </val>
        </ser>
        <ser>
          <idx val="2"/>
          <order val="2"/>
          <tx>
            <strRef>
              <f>'Dashboard'!H4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'Dashboard'!$E$5:$E$10</f>
            </numRef>
          </cat>
          <val>
            <numRef>
              <f>'Dashboard'!$H$5:$H$10</f>
            </numRef>
          </val>
        </ser>
        <ser>
          <idx val="3"/>
          <order val="3"/>
          <tx>
            <strRef>
              <f>'Dashboard'!I4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'Dashboard'!$E$5:$E$10</f>
            </numRef>
          </cat>
          <val>
            <numRef>
              <f>'Dashboard'!$I$5:$I$10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อายุ (วัน)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กรัม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aw" displayName="tblRaw" ref="A1:G25" headerRowCount="1">
  <autoFilter ref="A1:G25"/>
  <tableColumns count="7">
    <tableColumn id="1" name="Farm_ID"/>
    <tableColumn id="2" name="Date"/>
    <tableColumn id="3" name="Age_Days"/>
    <tableColumn id="4" name="Body_Weight_g"/>
    <tableColumn id="5" name="Feed_Cum_kg"/>
    <tableColumn id="6" name="Mortality_Cum"/>
    <tableColumn id="7" name="Birds_Plac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20" customWidth="1" min="1" max="1"/>
    <col width="16" customWidth="1" min="2" max="2"/>
  </cols>
  <sheetData>
    <row r="1">
      <c r="A1" s="1" t="inlineStr">
        <is>
          <t>AI + Excel Formula Mastery — Sample Workbook</t>
        </is>
      </c>
    </row>
    <row r="2">
      <c r="A2" s="2" t="inlineStr">
        <is>
          <t>ข้อมูลทั้งหมดเป็นข้อมูลสมมติเพื่อฝึก ไม่ใช่มาตรฐานสายพันธุ์และไม่ใช่ข้อมูลของหน่วยงานใด</t>
        </is>
      </c>
    </row>
    <row r="3">
      <c r="A3" t="inlineStr"/>
    </row>
    <row r="4">
      <c r="A4" s="3" t="inlineStr">
        <is>
          <t>ชีตในไฟล์</t>
        </is>
      </c>
    </row>
    <row r="5">
      <c r="A5" t="inlineStr">
        <is>
          <t>Raw_Data — ข้อมูลผลการเลี้ยงรายสัปดาห์ 4 ฟาร์ม (F001–F004) อายุ 7–42 วัน (Excel Table: tblRaw)</t>
        </is>
      </c>
    </row>
    <row r="6">
      <c r="A6" t="inlineStr">
        <is>
          <t>Master_Data — ข้อมูลหลักของฟาร์ม + Product Master (ใช้ฝึก Lookup)</t>
        </is>
      </c>
    </row>
    <row r="7">
      <c r="A7" t="inlineStr">
        <is>
          <t>Calculations — KPI ต่อแถว (Live Birds, Weight Gain, FCR, Mortality %) + สรุปรายฟาร์ม + สถิติน้ำหนัก (%CV)</t>
        </is>
      </c>
    </row>
    <row r="8">
      <c r="A8" t="inlineStr">
        <is>
          <t>Validation — ตัวอย่างข้อมูลที่มีปัญหา + สูตร Data Quality Status (PASS/WARNING/ERROR) พร้อมเหตุผล</t>
        </is>
      </c>
    </row>
    <row r="9">
      <c r="A9" t="inlineStr">
        <is>
          <t>Dashboard — เลือกฟาร์มในเซลล์ C3 แล้ว KPI และกราฟจะเปลี่ยนตาม</t>
        </is>
      </c>
    </row>
    <row r="10">
      <c r="A10" t="inlineStr">
        <is>
          <t>Sales_Data / Product_Master — ข้อมูลยอดขายจากต้นฉบับ (ข้อ 15) + แถวเพิ่มสำหรับทดสอบ</t>
        </is>
      </c>
    </row>
    <row r="11">
      <c r="A11" t="inlineStr">
        <is>
          <t>Farm_Performance — ตาราง Farm_Performance จากต้นฉบับข้อ 15 ตามเดิม (ดูข้อจำกัดในชีตนั้น)</t>
        </is>
      </c>
    </row>
    <row r="12">
      <c r="A12" t="inlineStr">
        <is>
          <t>Weight_Samples — น้ำหนักไก่ตัวอย่าง 100 ตัว (กรัม) สำหรับฝึก %CV / Percentile</t>
        </is>
      </c>
    </row>
    <row r="13">
      <c r="A13" t="inlineStr">
        <is>
          <t>M365_Formulas — สูตร Microsoft 365 (XLOOKUP, FILTER, LET, LAMBDA ฯลฯ) เป็นข้อความให้คัดลอกไปลอง พร้อมสูตรทางเลือก</t>
        </is>
      </c>
    </row>
    <row r="14">
      <c r="A14" t="inlineStr"/>
    </row>
    <row r="15">
      <c r="A15" s="3" t="inlineStr">
        <is>
          <t>นิยาม KPI (ใช้เพื่อการเรียน — ยืนยันนิยามกับมาตรฐานองค์กรก่อนใช้งานจริง)</t>
        </is>
      </c>
    </row>
    <row r="16">
      <c r="A16" t="inlineStr">
        <is>
          <t>Live_Birds = Birds_Placed − Mortality_Cum (ตัว)</t>
        </is>
      </c>
    </row>
    <row r="17">
      <c r="A17" t="inlineStr">
        <is>
          <t>Weight_Gain_kg = (Body_Weight_g − 42) ÷ 1000 × Live_Birds  — สมมติน้ำหนักลูกไก่แรกรับ 42 กรัม (ปรับได้ที่ Calculations!N2)</t>
        </is>
      </c>
    </row>
    <row r="18">
      <c r="A18" t="inlineStr">
        <is>
          <t>FCR = Feed_Cum_kg ÷ Weight_Gain_kg  — Feed_Cum_kg คืออาหารสะสมตั้งแต่ลงไก่ถึงวันที่บันทึก (ช่วงเวลาเดียวกับน้ำหนัก)</t>
        </is>
      </c>
    </row>
    <row r="19">
      <c r="A19" t="inlineStr">
        <is>
          <t>Mortality_% = Mortality_Cum ÷ Birds_Placed × 100 (สะสม)</t>
        </is>
      </c>
    </row>
    <row r="20">
      <c r="A20" t="inlineStr"/>
    </row>
    <row r="21">
      <c r="A21" s="3" t="inlineStr">
        <is>
          <t>วิธีตรวจสอบ</t>
        </is>
      </c>
    </row>
    <row r="22">
      <c r="A22" t="inlineStr">
        <is>
          <t>1) เซลล์สีเหลือง = ข้อมูลนำเข้า, สีฟ้า = สูตร · 2) ลองแก้ค่าใน Raw_Data แล้วดู Calculations/Dashboard เปลี่ยน</t>
        </is>
      </c>
    </row>
    <row r="23">
      <c r="A23" t="inlineStr">
        <is>
          <t>3) ทุกสูตรในไฟล์นี้ตรวจผลด้วยการคำนวณใหม่ใน LibreOffice เทียบกับค่าที่คำนวณแยกด้วย Python (ดูรายงาน docs/excel-workbook-report.json)</t>
        </is>
      </c>
    </row>
    <row r="24">
      <c r="A24" t="inlineStr">
        <is>
          <t>4) วันที่รายงาน (Report Date) ที่ใช้ตรวจ "วันที่เกินวันปัจจุบัน" อยู่ที่เซลล์ B27 = 2026-10-31 (เปลี่ยนเป็น =TODAY() ได้)</t>
        </is>
      </c>
    </row>
    <row r="25">
      <c r="A25" t="inlineStr"/>
    </row>
    <row r="26">
      <c r="A26" s="3" t="inlineStr">
        <is>
          <t>Report Date</t>
        </is>
      </c>
    </row>
    <row r="27">
      <c r="B27" s="4" t="n">
        <v>46326</v>
      </c>
    </row>
    <row r="28">
      <c r="A28" t="inlineStr">
        <is>
          <t>เวอร์ชันที่รองรับ: สูตรในชีตหลักใช้ฟังก์ชันที่มีใน Excel 2010 ขึ้นไป (MAXIFS ต้อง 2019+) · สูตร Microsoft 365 อยู่ในชีต M365_Formulas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3" customWidth="1" min="7" max="7"/>
  </cols>
  <sheetData>
    <row r="1">
      <c r="A1" s="5" t="inlineStr">
        <is>
          <t>Farm_ID</t>
        </is>
      </c>
      <c r="B1" s="5" t="inlineStr">
        <is>
          <t>Date</t>
        </is>
      </c>
      <c r="C1" s="5" t="inlineStr">
        <is>
          <t>Age_Days</t>
        </is>
      </c>
      <c r="D1" s="5" t="inlineStr">
        <is>
          <t>Body_Weight_g</t>
        </is>
      </c>
      <c r="E1" s="5" t="inlineStr">
        <is>
          <t>Feed_Cum_kg</t>
        </is>
      </c>
      <c r="F1" s="5" t="inlineStr">
        <is>
          <t>Mortality_Cum</t>
        </is>
      </c>
      <c r="G1" s="5" t="inlineStr">
        <is>
          <t>Birds_Placed</t>
        </is>
      </c>
    </row>
    <row r="2">
      <c r="A2" s="6" t="inlineStr">
        <is>
          <t>F001</t>
        </is>
      </c>
      <c r="B2" s="7" t="n">
        <v>46289</v>
      </c>
      <c r="C2" s="6" t="n">
        <v>7</v>
      </c>
      <c r="D2" s="6" t="n">
        <v>185</v>
      </c>
      <c r="E2" s="8" t="n">
        <v>1353</v>
      </c>
      <c r="F2" s="6" t="n">
        <v>40</v>
      </c>
      <c r="G2" s="8" t="n">
        <v>10000</v>
      </c>
    </row>
    <row r="3">
      <c r="A3" s="6" t="inlineStr">
        <is>
          <t>F001</t>
        </is>
      </c>
      <c r="B3" s="7" t="n">
        <v>46296</v>
      </c>
      <c r="C3" s="6" t="n">
        <v>14</v>
      </c>
      <c r="D3" s="6" t="n">
        <v>510</v>
      </c>
      <c r="E3" s="8" t="n">
        <v>5200</v>
      </c>
      <c r="F3" s="6" t="n">
        <v>80</v>
      </c>
      <c r="G3" s="8" t="n">
        <v>10000</v>
      </c>
    </row>
    <row r="4">
      <c r="A4" s="6" t="inlineStr">
        <is>
          <t>F001</t>
        </is>
      </c>
      <c r="B4" s="7" t="n">
        <v>46303</v>
      </c>
      <c r="C4" s="6" t="n">
        <v>21</v>
      </c>
      <c r="D4" s="6" t="n">
        <v>940</v>
      </c>
      <c r="E4" s="8" t="n">
        <v>11534</v>
      </c>
      <c r="F4" s="6" t="n">
        <v>120</v>
      </c>
      <c r="G4" s="8" t="n">
        <v>10000</v>
      </c>
    </row>
    <row r="5">
      <c r="A5" s="6" t="inlineStr">
        <is>
          <t>F001</t>
        </is>
      </c>
      <c r="B5" s="7" t="n">
        <v>46310</v>
      </c>
      <c r="C5" s="6" t="n">
        <v>28</v>
      </c>
      <c r="D5" s="6" t="n">
        <v>1480</v>
      </c>
      <c r="E5" s="8" t="n">
        <v>20093</v>
      </c>
      <c r="F5" s="6" t="n">
        <v>160</v>
      </c>
      <c r="G5" s="8" t="n">
        <v>10000</v>
      </c>
    </row>
    <row r="6">
      <c r="A6" s="6" t="inlineStr">
        <is>
          <t>F001</t>
        </is>
      </c>
      <c r="B6" s="7" t="n">
        <v>46317</v>
      </c>
      <c r="C6" s="6" t="n">
        <v>35</v>
      </c>
      <c r="D6" s="6" t="n">
        <v>2080</v>
      </c>
      <c r="E6" s="8" t="n">
        <v>30558</v>
      </c>
      <c r="F6" s="6" t="n">
        <v>200</v>
      </c>
      <c r="G6" s="8" t="n">
        <v>10000</v>
      </c>
    </row>
    <row r="7">
      <c r="A7" s="6" t="inlineStr">
        <is>
          <t>F001</t>
        </is>
      </c>
      <c r="B7" s="7" t="n">
        <v>46324</v>
      </c>
      <c r="C7" s="6" t="n">
        <v>42</v>
      </c>
      <c r="D7" s="6" t="n">
        <v>2690</v>
      </c>
      <c r="E7" s="8" t="n">
        <v>42385</v>
      </c>
      <c r="F7" s="6" t="n">
        <v>240</v>
      </c>
      <c r="G7" s="8" t="n">
        <v>10000</v>
      </c>
    </row>
    <row r="8">
      <c r="A8" s="6" t="inlineStr">
        <is>
          <t>F002</t>
        </is>
      </c>
      <c r="B8" s="7" t="n">
        <v>46289</v>
      </c>
      <c r="C8" s="6" t="n">
        <v>7</v>
      </c>
      <c r="D8" s="6" t="n">
        <v>179</v>
      </c>
      <c r="E8" s="8" t="n">
        <v>1281</v>
      </c>
      <c r="F8" s="6" t="n">
        <v>54</v>
      </c>
      <c r="G8" s="8" t="n">
        <v>9800</v>
      </c>
    </row>
    <row r="9">
      <c r="A9" s="6" t="inlineStr">
        <is>
          <t>F002</t>
        </is>
      </c>
      <c r="B9" s="7" t="n">
        <v>46296</v>
      </c>
      <c r="C9" s="6" t="n">
        <v>14</v>
      </c>
      <c r="D9" s="6" t="n">
        <v>495</v>
      </c>
      <c r="E9" s="8" t="n">
        <v>4967</v>
      </c>
      <c r="F9" s="6" t="n">
        <v>108</v>
      </c>
      <c r="G9" s="8" t="n">
        <v>9800</v>
      </c>
    </row>
    <row r="10">
      <c r="A10" s="6" t="inlineStr">
        <is>
          <t>F002</t>
        </is>
      </c>
      <c r="B10" s="7" t="n">
        <v>46303</v>
      </c>
      <c r="C10" s="6" t="n">
        <v>21</v>
      </c>
      <c r="D10" s="6" t="n">
        <v>912</v>
      </c>
      <c r="E10" s="8" t="n">
        <v>11010</v>
      </c>
      <c r="F10" s="6" t="n">
        <v>162</v>
      </c>
      <c r="G10" s="8" t="n">
        <v>9800</v>
      </c>
    </row>
    <row r="11">
      <c r="A11" s="6" t="inlineStr">
        <is>
          <t>F002</t>
        </is>
      </c>
      <c r="B11" s="7" t="n">
        <v>46310</v>
      </c>
      <c r="C11" s="6" t="n">
        <v>28</v>
      </c>
      <c r="D11" s="6" t="n">
        <v>1436</v>
      </c>
      <c r="E11" s="8" t="n">
        <v>19161</v>
      </c>
      <c r="F11" s="6" t="n">
        <v>216</v>
      </c>
      <c r="G11" s="8" t="n">
        <v>9800</v>
      </c>
    </row>
    <row r="12">
      <c r="A12" s="6" t="inlineStr">
        <is>
          <t>F002</t>
        </is>
      </c>
      <c r="B12" s="7" t="n">
        <v>46317</v>
      </c>
      <c r="C12" s="6" t="n">
        <v>35</v>
      </c>
      <c r="D12" s="6" t="n">
        <v>2018</v>
      </c>
      <c r="E12" s="8" t="n">
        <v>29100</v>
      </c>
      <c r="F12" s="6" t="n">
        <v>270</v>
      </c>
      <c r="G12" s="8" t="n">
        <v>9800</v>
      </c>
    </row>
    <row r="13">
      <c r="A13" s="6" t="inlineStr">
        <is>
          <t>F002</t>
        </is>
      </c>
      <c r="B13" s="7" t="n">
        <v>46324</v>
      </c>
      <c r="C13" s="6" t="n">
        <v>42</v>
      </c>
      <c r="D13" s="6" t="n">
        <v>2609</v>
      </c>
      <c r="E13" s="8" t="n">
        <v>40296</v>
      </c>
      <c r="F13" s="6" t="n">
        <v>323</v>
      </c>
      <c r="G13" s="8" t="n">
        <v>9800</v>
      </c>
    </row>
    <row r="14">
      <c r="A14" s="6" t="inlineStr">
        <is>
          <t>F003</t>
        </is>
      </c>
      <c r="B14" s="7" t="n">
        <v>46289</v>
      </c>
      <c r="C14" s="6" t="n">
        <v>7</v>
      </c>
      <c r="D14" s="6" t="n">
        <v>189</v>
      </c>
      <c r="E14" s="8" t="n">
        <v>2067</v>
      </c>
      <c r="F14" s="6" t="n">
        <v>52</v>
      </c>
      <c r="G14" s="8" t="n">
        <v>15000</v>
      </c>
    </row>
    <row r="15">
      <c r="A15" s="6" t="inlineStr">
        <is>
          <t>F003</t>
        </is>
      </c>
      <c r="B15" s="7" t="n">
        <v>46296</v>
      </c>
      <c r="C15" s="6" t="n">
        <v>14</v>
      </c>
      <c r="D15" s="6" t="n">
        <v>520</v>
      </c>
      <c r="E15" s="8" t="n">
        <v>7894</v>
      </c>
      <c r="F15" s="6" t="n">
        <v>105</v>
      </c>
      <c r="G15" s="8" t="n">
        <v>15000</v>
      </c>
    </row>
    <row r="16">
      <c r="A16" s="6" t="inlineStr">
        <is>
          <t>F003</t>
        </is>
      </c>
      <c r="B16" s="7" t="n">
        <v>46303</v>
      </c>
      <c r="C16" s="6" t="n">
        <v>21</v>
      </c>
      <c r="D16" s="6" t="n">
        <v>959</v>
      </c>
      <c r="E16" s="8" t="n">
        <v>17516</v>
      </c>
      <c r="F16" s="6" t="n">
        <v>158</v>
      </c>
      <c r="G16" s="8" t="n">
        <v>15000</v>
      </c>
    </row>
    <row r="17">
      <c r="A17" s="6" t="inlineStr">
        <is>
          <t>F003</t>
        </is>
      </c>
      <c r="B17" s="7" t="n">
        <v>46310</v>
      </c>
      <c r="C17" s="6" t="n">
        <v>28</v>
      </c>
      <c r="D17" s="6" t="n">
        <v>1510</v>
      </c>
      <c r="E17" s="8" t="n">
        <v>30522</v>
      </c>
      <c r="F17" s="6" t="n">
        <v>210</v>
      </c>
      <c r="G17" s="8" t="n">
        <v>15000</v>
      </c>
    </row>
    <row r="18">
      <c r="A18" s="6" t="inlineStr">
        <is>
          <t>F003</t>
        </is>
      </c>
      <c r="B18" s="7" t="n">
        <v>46317</v>
      </c>
      <c r="C18" s="6" t="n">
        <v>35</v>
      </c>
      <c r="D18" s="6" t="n">
        <v>2122</v>
      </c>
      <c r="E18" s="8" t="n">
        <v>46433</v>
      </c>
      <c r="F18" s="6" t="n">
        <v>262</v>
      </c>
      <c r="G18" s="8" t="n">
        <v>15000</v>
      </c>
    </row>
    <row r="19">
      <c r="A19" s="6" t="inlineStr">
        <is>
          <t>F003</t>
        </is>
      </c>
      <c r="B19" s="7" t="n">
        <v>46324</v>
      </c>
      <c r="C19" s="6" t="n">
        <v>42</v>
      </c>
      <c r="D19" s="6" t="n">
        <v>2744</v>
      </c>
      <c r="E19" s="8" t="n">
        <v>64423</v>
      </c>
      <c r="F19" s="6" t="n">
        <v>315</v>
      </c>
      <c r="G19" s="8" t="n">
        <v>15000</v>
      </c>
    </row>
    <row r="20">
      <c r="A20" s="6" t="inlineStr">
        <is>
          <t>F004</t>
        </is>
      </c>
      <c r="B20" s="7" t="n">
        <v>46289</v>
      </c>
      <c r="C20" s="6" t="n">
        <v>7</v>
      </c>
      <c r="D20" s="6" t="n">
        <v>176</v>
      </c>
      <c r="E20" s="8" t="n">
        <v>1578</v>
      </c>
      <c r="F20" s="6" t="n">
        <v>84</v>
      </c>
      <c r="G20" s="8" t="n">
        <v>12000</v>
      </c>
    </row>
    <row r="21">
      <c r="A21" s="6" t="inlineStr">
        <is>
          <t>F004</t>
        </is>
      </c>
      <c r="B21" s="7" t="n">
        <v>46296</v>
      </c>
      <c r="C21" s="6" t="n">
        <v>14</v>
      </c>
      <c r="D21" s="6" t="n">
        <v>484</v>
      </c>
      <c r="E21" s="8" t="n">
        <v>6092</v>
      </c>
      <c r="F21" s="6" t="n">
        <v>168</v>
      </c>
      <c r="G21" s="8" t="n">
        <v>12000</v>
      </c>
    </row>
    <row r="22">
      <c r="A22" s="6" t="inlineStr">
        <is>
          <t>F004</t>
        </is>
      </c>
      <c r="B22" s="7" t="n">
        <v>46303</v>
      </c>
      <c r="C22" s="6" t="n">
        <v>21</v>
      </c>
      <c r="D22" s="6" t="n">
        <v>893</v>
      </c>
      <c r="E22" s="8" t="n">
        <v>13517</v>
      </c>
      <c r="F22" s="6" t="n">
        <v>252</v>
      </c>
      <c r="G22" s="8" t="n">
        <v>12000</v>
      </c>
    </row>
    <row r="23">
      <c r="A23" s="6" t="inlineStr">
        <is>
          <t>F004</t>
        </is>
      </c>
      <c r="B23" s="7" t="n">
        <v>46310</v>
      </c>
      <c r="C23" s="6" t="n">
        <v>28</v>
      </c>
      <c r="D23" s="6" t="n">
        <v>1406</v>
      </c>
      <c r="E23" s="8" t="n">
        <v>23489</v>
      </c>
      <c r="F23" s="6" t="n">
        <v>339</v>
      </c>
      <c r="G23" s="8" t="n">
        <v>12000</v>
      </c>
    </row>
    <row r="24">
      <c r="A24" s="6" t="inlineStr">
        <is>
          <t>F004</t>
        </is>
      </c>
      <c r="B24" s="7" t="n">
        <v>46317</v>
      </c>
      <c r="C24" s="6" t="n">
        <v>35</v>
      </c>
      <c r="D24" s="6" t="n">
        <v>1976</v>
      </c>
      <c r="E24" s="8" t="n">
        <v>35627</v>
      </c>
      <c r="F24" s="6" t="n">
        <v>423</v>
      </c>
      <c r="G24" s="8" t="n">
        <v>12000</v>
      </c>
    </row>
    <row r="25">
      <c r="A25" s="6" t="inlineStr">
        <is>
          <t>F004</t>
        </is>
      </c>
      <c r="B25" s="7" t="n">
        <v>46324</v>
      </c>
      <c r="C25" s="6" t="n">
        <v>42</v>
      </c>
      <c r="D25" s="6" t="n">
        <v>2556</v>
      </c>
      <c r="E25" s="8" t="n">
        <v>49281</v>
      </c>
      <c r="F25" s="6" t="n">
        <v>507</v>
      </c>
      <c r="G25" s="8" t="n">
        <v>12000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3" customWidth="1" min="4" max="4"/>
    <col width="15" customWidth="1" min="5" max="5"/>
    <col width="15" customWidth="1" min="6" max="6"/>
  </cols>
  <sheetData>
    <row r="1">
      <c r="A1" s="5" t="inlineStr">
        <is>
          <t>Farm_ID</t>
        </is>
      </c>
      <c r="B1" s="5" t="inlineStr">
        <is>
          <t>Region</t>
        </is>
      </c>
      <c r="C1" s="5" t="inlineStr">
        <is>
          <t>Houses</t>
        </is>
      </c>
      <c r="D1" s="5" t="inlineStr">
        <is>
          <t>Birds_Placed</t>
        </is>
      </c>
      <c r="E1" s="5" t="inlineStr">
        <is>
          <t>Placement_Date</t>
        </is>
      </c>
      <c r="F1" s="5" t="inlineStr">
        <is>
          <t>Target_FCR_42d</t>
        </is>
      </c>
    </row>
    <row r="2">
      <c r="A2" s="6" t="inlineStr">
        <is>
          <t>F001</t>
        </is>
      </c>
      <c r="B2" s="6" t="inlineStr">
        <is>
          <t>ภาคกลาง</t>
        </is>
      </c>
      <c r="C2" s="6" t="n">
        <v>4</v>
      </c>
      <c r="D2" s="6" t="n">
        <v>10000</v>
      </c>
      <c r="E2" s="7" t="n">
        <v>46282</v>
      </c>
      <c r="F2" s="6" t="n">
        <v>1.65</v>
      </c>
    </row>
    <row r="3">
      <c r="A3" s="6" t="inlineStr">
        <is>
          <t>F002</t>
        </is>
      </c>
      <c r="B3" s="6" t="inlineStr">
        <is>
          <t>ภาคตะวันออก</t>
        </is>
      </c>
      <c r="C3" s="6" t="n">
        <v>4</v>
      </c>
      <c r="D3" s="6" t="n">
        <v>9800</v>
      </c>
      <c r="E3" s="7" t="n">
        <v>46282</v>
      </c>
      <c r="F3" s="6" t="n">
        <v>1.65</v>
      </c>
    </row>
    <row r="4">
      <c r="A4" s="6" t="inlineStr">
        <is>
          <t>F003</t>
        </is>
      </c>
      <c r="B4" s="6" t="inlineStr">
        <is>
          <t>ภาคเหนือ</t>
        </is>
      </c>
      <c r="C4" s="6" t="n">
        <v>6</v>
      </c>
      <c r="D4" s="6" t="n">
        <v>15000</v>
      </c>
      <c r="E4" s="7" t="n">
        <v>46282</v>
      </c>
      <c r="F4" s="6" t="n">
        <v>1.68</v>
      </c>
    </row>
    <row r="5">
      <c r="A5" s="6" t="inlineStr">
        <is>
          <t>F004</t>
        </is>
      </c>
      <c r="B5" s="6" t="inlineStr">
        <is>
          <t>ภาคอีสาน</t>
        </is>
      </c>
      <c r="C5" s="6" t="n">
        <v>5</v>
      </c>
      <c r="D5" s="6" t="n">
        <v>12000</v>
      </c>
      <c r="E5" s="7" t="n">
        <v>46282</v>
      </c>
      <c r="F5" s="6" t="n">
        <v>1.68</v>
      </c>
    </row>
    <row r="8">
      <c r="A8" s="5" t="inlineStr">
        <is>
          <t>Product_ID</t>
        </is>
      </c>
      <c r="B8" s="5" t="inlineStr">
        <is>
          <t>Product_Name</t>
        </is>
      </c>
      <c r="C8" s="5" t="inlineStr">
        <is>
          <t>Category</t>
        </is>
      </c>
      <c r="D8" s="5" t="inlineStr">
        <is>
          <t>Price</t>
        </is>
      </c>
    </row>
    <row r="9">
      <c r="A9" s="6" t="inlineStr">
        <is>
          <t>P001</t>
        </is>
      </c>
      <c r="B9" s="6" t="inlineStr">
        <is>
          <t>Product A</t>
        </is>
      </c>
      <c r="C9" s="6" t="inlineStr">
        <is>
          <t>Feed</t>
        </is>
      </c>
      <c r="D9" s="6" t="n">
        <v>150</v>
      </c>
    </row>
    <row r="10">
      <c r="A10" s="6" t="inlineStr">
        <is>
          <t>P002</t>
        </is>
      </c>
      <c r="B10" s="6" t="inlineStr">
        <is>
          <t>Product B</t>
        </is>
      </c>
      <c r="C10" s="6" t="inlineStr">
        <is>
          <t>Equipment</t>
        </is>
      </c>
      <c r="D10" s="6" t="n">
        <v>220</v>
      </c>
    </row>
    <row r="11">
      <c r="A11" s="6" t="inlineStr">
        <is>
          <t>P003</t>
        </is>
      </c>
      <c r="B11" s="6" t="inlineStr">
        <is>
          <t>Product C</t>
        </is>
      </c>
      <c r="C11" s="6" t="inlineStr">
        <is>
          <t>Equipment</t>
        </is>
      </c>
      <c r="D11" s="6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2" customWidth="1" min="4" max="4"/>
    <col width="15" customWidth="1" min="5" max="5"/>
    <col width="9" customWidth="1" min="6" max="6"/>
    <col width="12" customWidth="1" min="7" max="7"/>
    <col width="11" customWidth="1" min="8" max="8"/>
    <col width="17" customWidth="1" min="9" max="9"/>
    <col width="26" customWidth="1" min="10" max="10"/>
    <col width="3" customWidth="1" min="11" max="11"/>
    <col width="3" customWidth="1" min="12" max="12"/>
    <col width="26" customWidth="1" min="13" max="13"/>
    <col width="14" customWidth="1" min="14" max="14"/>
  </cols>
  <sheetData>
    <row r="1">
      <c r="A1" s="5" t="inlineStr">
        <is>
          <t>Farm_ID</t>
        </is>
      </c>
      <c r="B1" s="5" t="inlineStr">
        <is>
          <t>Date</t>
        </is>
      </c>
      <c r="C1" s="5" t="inlineStr">
        <is>
          <t>Age_Days</t>
        </is>
      </c>
      <c r="D1" s="5" t="inlineStr">
        <is>
          <t>Live_Birds</t>
        </is>
      </c>
      <c r="E1" s="5" t="inlineStr">
        <is>
          <t>Weight_Gain_kg</t>
        </is>
      </c>
      <c r="F1" s="5" t="inlineStr">
        <is>
          <t>FCR</t>
        </is>
      </c>
      <c r="G1" s="5" t="inlineStr">
        <is>
          <t>Mortality_%</t>
        </is>
      </c>
      <c r="H1" s="5" t="inlineStr">
        <is>
          <t>Target_FCR</t>
        </is>
      </c>
      <c r="I1" s="5" t="inlineStr">
        <is>
          <t>FCR_Status</t>
        </is>
      </c>
      <c r="J1" s="5" t="inlineStr">
        <is>
          <t>Week_Label</t>
        </is>
      </c>
      <c r="M1" s="3" t="inlineStr">
        <is>
          <t>Chick_Weight_g</t>
        </is>
      </c>
      <c r="N1" t="inlineStr">
        <is>
          <t>ค่าที่ปรับได้</t>
        </is>
      </c>
    </row>
    <row r="2">
      <c r="A2" s="9">
        <f>Raw_Data!A2</f>
        <v/>
      </c>
      <c r="B2" s="10">
        <f>Raw_Data!B2</f>
        <v/>
      </c>
      <c r="C2" s="9">
        <f>Raw_Data!C2</f>
        <v/>
      </c>
      <c r="D2" s="11">
        <f>Raw_Data!G2-Raw_Data!F2</f>
        <v/>
      </c>
      <c r="E2" s="12">
        <f>IF(AND(ISNUMBER(Raw_Data!D2),Raw_Data!D2&gt;$N$2),(Raw_Data!D2-$N$2)/1000*D2,NA())</f>
        <v/>
      </c>
      <c r="F2" s="13">
        <f>IFERROR(IF(E2&gt;0,Raw_Data!E2/E2,NA()),NA())</f>
        <v/>
      </c>
      <c r="G2" s="14">
        <f>IF(Raw_Data!G2&gt;0,Raw_Data!F2/Raw_Data!G2*100,NA())</f>
        <v/>
      </c>
      <c r="H2" s="14">
        <f>IFERROR(INDEX(Master_Data!$F$2:$F$5,MATCH(A2,Master_Data!$A$2:$A$5,0)),"ไม่พบฟาร์ม")</f>
        <v/>
      </c>
      <c r="I2" s="9">
        <f>IF(C2&lt;42,"ยังไม่ถึง 42 วัน",IF(F2&gt;H2,"สูงกว่าเป้า","ตามเป้า"))</f>
        <v/>
      </c>
      <c r="J2" s="9">
        <f>"สัปดาห์ "&amp;ROUNDUP(C2/7,0)&amp;" · "&amp;TEXT(B2,"yyyy-mm-dd")</f>
        <v/>
      </c>
      <c r="M2" t="inlineStr">
        <is>
          <t>น้ำหนักลูกไก่แรกรับ (กรัม)</t>
        </is>
      </c>
      <c r="N2" s="15" t="n">
        <v>42</v>
      </c>
    </row>
    <row r="3">
      <c r="A3" s="9">
        <f>Raw_Data!A3</f>
        <v/>
      </c>
      <c r="B3" s="10">
        <f>Raw_Data!B3</f>
        <v/>
      </c>
      <c r="C3" s="9">
        <f>Raw_Data!C3</f>
        <v/>
      </c>
      <c r="D3" s="11">
        <f>Raw_Data!G3-Raw_Data!F3</f>
        <v/>
      </c>
      <c r="E3" s="12">
        <f>IF(AND(ISNUMBER(Raw_Data!D3),Raw_Data!D3&gt;$N$2),(Raw_Data!D3-$N$2)/1000*D3,NA())</f>
        <v/>
      </c>
      <c r="F3" s="13">
        <f>IFERROR(IF(E3&gt;0,Raw_Data!E3/E3,NA()),NA())</f>
        <v/>
      </c>
      <c r="G3" s="14">
        <f>IF(Raw_Data!G3&gt;0,Raw_Data!F3/Raw_Data!G3*100,NA())</f>
        <v/>
      </c>
      <c r="H3" s="14">
        <f>IFERROR(INDEX(Master_Data!$F$2:$F$5,MATCH(A3,Master_Data!$A$2:$A$5,0)),"ไม่พบฟาร์ม")</f>
        <v/>
      </c>
      <c r="I3" s="9">
        <f>IF(C3&lt;42,"ยังไม่ถึง 42 วัน",IF(F3&gt;H3,"สูงกว่าเป้า","ตามเป้า"))</f>
        <v/>
      </c>
      <c r="J3" s="9">
        <f>"สัปดาห์ "&amp;ROUNDUP(C3/7,0)&amp;" · "&amp;TEXT(B3,"yyyy-mm-dd")</f>
        <v/>
      </c>
    </row>
    <row r="4">
      <c r="A4" s="9">
        <f>Raw_Data!A4</f>
        <v/>
      </c>
      <c r="B4" s="10">
        <f>Raw_Data!B4</f>
        <v/>
      </c>
      <c r="C4" s="9">
        <f>Raw_Data!C4</f>
        <v/>
      </c>
      <c r="D4" s="11">
        <f>Raw_Data!G4-Raw_Data!F4</f>
        <v/>
      </c>
      <c r="E4" s="12">
        <f>IF(AND(ISNUMBER(Raw_Data!D4),Raw_Data!D4&gt;$N$2),(Raw_Data!D4-$N$2)/1000*D4,NA())</f>
        <v/>
      </c>
      <c r="F4" s="13">
        <f>IFERROR(IF(E4&gt;0,Raw_Data!E4/E4,NA()),NA())</f>
        <v/>
      </c>
      <c r="G4" s="14">
        <f>IF(Raw_Data!G4&gt;0,Raw_Data!F4/Raw_Data!G4*100,NA())</f>
        <v/>
      </c>
      <c r="H4" s="14">
        <f>IFERROR(INDEX(Master_Data!$F$2:$F$5,MATCH(A4,Master_Data!$A$2:$A$5,0)),"ไม่พบฟาร์ม")</f>
        <v/>
      </c>
      <c r="I4" s="9">
        <f>IF(C4&lt;42,"ยังไม่ถึง 42 วัน",IF(F4&gt;H4,"สูงกว่าเป้า","ตามเป้า"))</f>
        <v/>
      </c>
      <c r="J4" s="9">
        <f>"สัปดาห์ "&amp;ROUNDUP(C4/7,0)&amp;" · "&amp;TEXT(B4,"yyyy-mm-dd")</f>
        <v/>
      </c>
    </row>
    <row r="5">
      <c r="A5" s="9">
        <f>Raw_Data!A5</f>
        <v/>
      </c>
      <c r="B5" s="10">
        <f>Raw_Data!B5</f>
        <v/>
      </c>
      <c r="C5" s="9">
        <f>Raw_Data!C5</f>
        <v/>
      </c>
      <c r="D5" s="11">
        <f>Raw_Data!G5-Raw_Data!F5</f>
        <v/>
      </c>
      <c r="E5" s="12">
        <f>IF(AND(ISNUMBER(Raw_Data!D5),Raw_Data!D5&gt;$N$2),(Raw_Data!D5-$N$2)/1000*D5,NA())</f>
        <v/>
      </c>
      <c r="F5" s="13">
        <f>IFERROR(IF(E5&gt;0,Raw_Data!E5/E5,NA()),NA())</f>
        <v/>
      </c>
      <c r="G5" s="14">
        <f>IF(Raw_Data!G5&gt;0,Raw_Data!F5/Raw_Data!G5*100,NA())</f>
        <v/>
      </c>
      <c r="H5" s="14">
        <f>IFERROR(INDEX(Master_Data!$F$2:$F$5,MATCH(A5,Master_Data!$A$2:$A$5,0)),"ไม่พบฟาร์ม")</f>
        <v/>
      </c>
      <c r="I5" s="9">
        <f>IF(C5&lt;42,"ยังไม่ถึง 42 วัน",IF(F5&gt;H5,"สูงกว่าเป้า","ตามเป้า"))</f>
        <v/>
      </c>
      <c r="J5" s="9">
        <f>"สัปดาห์ "&amp;ROUNDUP(C5/7,0)&amp;" · "&amp;TEXT(B5,"yyyy-mm-dd")</f>
        <v/>
      </c>
    </row>
    <row r="6">
      <c r="A6" s="9">
        <f>Raw_Data!A6</f>
        <v/>
      </c>
      <c r="B6" s="10">
        <f>Raw_Data!B6</f>
        <v/>
      </c>
      <c r="C6" s="9">
        <f>Raw_Data!C6</f>
        <v/>
      </c>
      <c r="D6" s="11">
        <f>Raw_Data!G6-Raw_Data!F6</f>
        <v/>
      </c>
      <c r="E6" s="12">
        <f>IF(AND(ISNUMBER(Raw_Data!D6),Raw_Data!D6&gt;$N$2),(Raw_Data!D6-$N$2)/1000*D6,NA())</f>
        <v/>
      </c>
      <c r="F6" s="13">
        <f>IFERROR(IF(E6&gt;0,Raw_Data!E6/E6,NA()),NA())</f>
        <v/>
      </c>
      <c r="G6" s="14">
        <f>IF(Raw_Data!G6&gt;0,Raw_Data!F6/Raw_Data!G6*100,NA())</f>
        <v/>
      </c>
      <c r="H6" s="14">
        <f>IFERROR(INDEX(Master_Data!$F$2:$F$5,MATCH(A6,Master_Data!$A$2:$A$5,0)),"ไม่พบฟาร์ม")</f>
        <v/>
      </c>
      <c r="I6" s="9">
        <f>IF(C6&lt;42,"ยังไม่ถึง 42 วัน",IF(F6&gt;H6,"สูงกว่าเป้า","ตามเป้า"))</f>
        <v/>
      </c>
      <c r="J6" s="9">
        <f>"สัปดาห์ "&amp;ROUNDUP(C6/7,0)&amp;" · "&amp;TEXT(B6,"yyyy-mm-dd")</f>
        <v/>
      </c>
    </row>
    <row r="7">
      <c r="A7" s="9">
        <f>Raw_Data!A7</f>
        <v/>
      </c>
      <c r="B7" s="10">
        <f>Raw_Data!B7</f>
        <v/>
      </c>
      <c r="C7" s="9">
        <f>Raw_Data!C7</f>
        <v/>
      </c>
      <c r="D7" s="11">
        <f>Raw_Data!G7-Raw_Data!F7</f>
        <v/>
      </c>
      <c r="E7" s="12">
        <f>IF(AND(ISNUMBER(Raw_Data!D7),Raw_Data!D7&gt;$N$2),(Raw_Data!D7-$N$2)/1000*D7,NA())</f>
        <v/>
      </c>
      <c r="F7" s="13">
        <f>IFERROR(IF(E7&gt;0,Raw_Data!E7/E7,NA()),NA())</f>
        <v/>
      </c>
      <c r="G7" s="14">
        <f>IF(Raw_Data!G7&gt;0,Raw_Data!F7/Raw_Data!G7*100,NA())</f>
        <v/>
      </c>
      <c r="H7" s="14">
        <f>IFERROR(INDEX(Master_Data!$F$2:$F$5,MATCH(A7,Master_Data!$A$2:$A$5,0)),"ไม่พบฟาร์ม")</f>
        <v/>
      </c>
      <c r="I7" s="9">
        <f>IF(C7&lt;42,"ยังไม่ถึง 42 วัน",IF(F7&gt;H7,"สูงกว่าเป้า","ตามเป้า"))</f>
        <v/>
      </c>
      <c r="J7" s="9">
        <f>"สัปดาห์ "&amp;ROUNDUP(C7/7,0)&amp;" · "&amp;TEXT(B7,"yyyy-mm-dd")</f>
        <v/>
      </c>
    </row>
    <row r="8">
      <c r="A8" s="9">
        <f>Raw_Data!A8</f>
        <v/>
      </c>
      <c r="B8" s="10">
        <f>Raw_Data!B8</f>
        <v/>
      </c>
      <c r="C8" s="9">
        <f>Raw_Data!C8</f>
        <v/>
      </c>
      <c r="D8" s="11">
        <f>Raw_Data!G8-Raw_Data!F8</f>
        <v/>
      </c>
      <c r="E8" s="12">
        <f>IF(AND(ISNUMBER(Raw_Data!D8),Raw_Data!D8&gt;$N$2),(Raw_Data!D8-$N$2)/1000*D8,NA())</f>
        <v/>
      </c>
      <c r="F8" s="13">
        <f>IFERROR(IF(E8&gt;0,Raw_Data!E8/E8,NA()),NA())</f>
        <v/>
      </c>
      <c r="G8" s="14">
        <f>IF(Raw_Data!G8&gt;0,Raw_Data!F8/Raw_Data!G8*100,NA())</f>
        <v/>
      </c>
      <c r="H8" s="14">
        <f>IFERROR(INDEX(Master_Data!$F$2:$F$5,MATCH(A8,Master_Data!$A$2:$A$5,0)),"ไม่พบฟาร์ม")</f>
        <v/>
      </c>
      <c r="I8" s="9">
        <f>IF(C8&lt;42,"ยังไม่ถึง 42 วัน",IF(F8&gt;H8,"สูงกว่าเป้า","ตามเป้า"))</f>
        <v/>
      </c>
      <c r="J8" s="9">
        <f>"สัปดาห์ "&amp;ROUNDUP(C8/7,0)&amp;" · "&amp;TEXT(B8,"yyyy-mm-dd")</f>
        <v/>
      </c>
    </row>
    <row r="9">
      <c r="A9" s="9">
        <f>Raw_Data!A9</f>
        <v/>
      </c>
      <c r="B9" s="10">
        <f>Raw_Data!B9</f>
        <v/>
      </c>
      <c r="C9" s="9">
        <f>Raw_Data!C9</f>
        <v/>
      </c>
      <c r="D9" s="11">
        <f>Raw_Data!G9-Raw_Data!F9</f>
        <v/>
      </c>
      <c r="E9" s="12">
        <f>IF(AND(ISNUMBER(Raw_Data!D9),Raw_Data!D9&gt;$N$2),(Raw_Data!D9-$N$2)/1000*D9,NA())</f>
        <v/>
      </c>
      <c r="F9" s="13">
        <f>IFERROR(IF(E9&gt;0,Raw_Data!E9/E9,NA()),NA())</f>
        <v/>
      </c>
      <c r="G9" s="14">
        <f>IF(Raw_Data!G9&gt;0,Raw_Data!F9/Raw_Data!G9*100,NA())</f>
        <v/>
      </c>
      <c r="H9" s="14">
        <f>IFERROR(INDEX(Master_Data!$F$2:$F$5,MATCH(A9,Master_Data!$A$2:$A$5,0)),"ไม่พบฟาร์ม")</f>
        <v/>
      </c>
      <c r="I9" s="9">
        <f>IF(C9&lt;42,"ยังไม่ถึง 42 วัน",IF(F9&gt;H9,"สูงกว่าเป้า","ตามเป้า"))</f>
        <v/>
      </c>
      <c r="J9" s="9">
        <f>"สัปดาห์ "&amp;ROUNDUP(C9/7,0)&amp;" · "&amp;TEXT(B9,"yyyy-mm-dd")</f>
        <v/>
      </c>
    </row>
    <row r="10">
      <c r="A10" s="9">
        <f>Raw_Data!A10</f>
        <v/>
      </c>
      <c r="B10" s="10">
        <f>Raw_Data!B10</f>
        <v/>
      </c>
      <c r="C10" s="9">
        <f>Raw_Data!C10</f>
        <v/>
      </c>
      <c r="D10" s="11">
        <f>Raw_Data!G10-Raw_Data!F10</f>
        <v/>
      </c>
      <c r="E10" s="12">
        <f>IF(AND(ISNUMBER(Raw_Data!D10),Raw_Data!D10&gt;$N$2),(Raw_Data!D10-$N$2)/1000*D10,NA())</f>
        <v/>
      </c>
      <c r="F10" s="13">
        <f>IFERROR(IF(E10&gt;0,Raw_Data!E10/E10,NA()),NA())</f>
        <v/>
      </c>
      <c r="G10" s="14">
        <f>IF(Raw_Data!G10&gt;0,Raw_Data!F10/Raw_Data!G10*100,NA())</f>
        <v/>
      </c>
      <c r="H10" s="14">
        <f>IFERROR(INDEX(Master_Data!$F$2:$F$5,MATCH(A10,Master_Data!$A$2:$A$5,0)),"ไม่พบฟาร์ม")</f>
        <v/>
      </c>
      <c r="I10" s="9">
        <f>IF(C10&lt;42,"ยังไม่ถึง 42 วัน",IF(F10&gt;H10,"สูงกว่าเป้า","ตามเป้า"))</f>
        <v/>
      </c>
      <c r="J10" s="9">
        <f>"สัปดาห์ "&amp;ROUNDUP(C10/7,0)&amp;" · "&amp;TEXT(B10,"yyyy-mm-dd")</f>
        <v/>
      </c>
    </row>
    <row r="11">
      <c r="A11" s="9">
        <f>Raw_Data!A11</f>
        <v/>
      </c>
      <c r="B11" s="10">
        <f>Raw_Data!B11</f>
        <v/>
      </c>
      <c r="C11" s="9">
        <f>Raw_Data!C11</f>
        <v/>
      </c>
      <c r="D11" s="11">
        <f>Raw_Data!G11-Raw_Data!F11</f>
        <v/>
      </c>
      <c r="E11" s="12">
        <f>IF(AND(ISNUMBER(Raw_Data!D11),Raw_Data!D11&gt;$N$2),(Raw_Data!D11-$N$2)/1000*D11,NA())</f>
        <v/>
      </c>
      <c r="F11" s="13">
        <f>IFERROR(IF(E11&gt;0,Raw_Data!E11/E11,NA()),NA())</f>
        <v/>
      </c>
      <c r="G11" s="14">
        <f>IF(Raw_Data!G11&gt;0,Raw_Data!F11/Raw_Data!G11*100,NA())</f>
        <v/>
      </c>
      <c r="H11" s="14">
        <f>IFERROR(INDEX(Master_Data!$F$2:$F$5,MATCH(A11,Master_Data!$A$2:$A$5,0)),"ไม่พบฟาร์ม")</f>
        <v/>
      </c>
      <c r="I11" s="9">
        <f>IF(C11&lt;42,"ยังไม่ถึง 42 วัน",IF(F11&gt;H11,"สูงกว่าเป้า","ตามเป้า"))</f>
        <v/>
      </c>
      <c r="J11" s="9">
        <f>"สัปดาห์ "&amp;ROUNDUP(C11/7,0)&amp;" · "&amp;TEXT(B11,"yyyy-mm-dd")</f>
        <v/>
      </c>
    </row>
    <row r="12">
      <c r="A12" s="9">
        <f>Raw_Data!A12</f>
        <v/>
      </c>
      <c r="B12" s="10">
        <f>Raw_Data!B12</f>
        <v/>
      </c>
      <c r="C12" s="9">
        <f>Raw_Data!C12</f>
        <v/>
      </c>
      <c r="D12" s="11">
        <f>Raw_Data!G12-Raw_Data!F12</f>
        <v/>
      </c>
      <c r="E12" s="12">
        <f>IF(AND(ISNUMBER(Raw_Data!D12),Raw_Data!D12&gt;$N$2),(Raw_Data!D12-$N$2)/1000*D12,NA())</f>
        <v/>
      </c>
      <c r="F12" s="13">
        <f>IFERROR(IF(E12&gt;0,Raw_Data!E12/E12,NA()),NA())</f>
        <v/>
      </c>
      <c r="G12" s="14">
        <f>IF(Raw_Data!G12&gt;0,Raw_Data!F12/Raw_Data!G12*100,NA())</f>
        <v/>
      </c>
      <c r="H12" s="14">
        <f>IFERROR(INDEX(Master_Data!$F$2:$F$5,MATCH(A12,Master_Data!$A$2:$A$5,0)),"ไม่พบฟาร์ม")</f>
        <v/>
      </c>
      <c r="I12" s="9">
        <f>IF(C12&lt;42,"ยังไม่ถึง 42 วัน",IF(F12&gt;H12,"สูงกว่าเป้า","ตามเป้า"))</f>
        <v/>
      </c>
      <c r="J12" s="9">
        <f>"สัปดาห์ "&amp;ROUNDUP(C12/7,0)&amp;" · "&amp;TEXT(B12,"yyyy-mm-dd")</f>
        <v/>
      </c>
    </row>
    <row r="13">
      <c r="A13" s="9">
        <f>Raw_Data!A13</f>
        <v/>
      </c>
      <c r="B13" s="10">
        <f>Raw_Data!B13</f>
        <v/>
      </c>
      <c r="C13" s="9">
        <f>Raw_Data!C13</f>
        <v/>
      </c>
      <c r="D13" s="11">
        <f>Raw_Data!G13-Raw_Data!F13</f>
        <v/>
      </c>
      <c r="E13" s="12">
        <f>IF(AND(ISNUMBER(Raw_Data!D13),Raw_Data!D13&gt;$N$2),(Raw_Data!D13-$N$2)/1000*D13,NA())</f>
        <v/>
      </c>
      <c r="F13" s="13">
        <f>IFERROR(IF(E13&gt;0,Raw_Data!E13/E13,NA()),NA())</f>
        <v/>
      </c>
      <c r="G13" s="14">
        <f>IF(Raw_Data!G13&gt;0,Raw_Data!F13/Raw_Data!G13*100,NA())</f>
        <v/>
      </c>
      <c r="H13" s="14">
        <f>IFERROR(INDEX(Master_Data!$F$2:$F$5,MATCH(A13,Master_Data!$A$2:$A$5,0)),"ไม่พบฟาร์ม")</f>
        <v/>
      </c>
      <c r="I13" s="9">
        <f>IF(C13&lt;42,"ยังไม่ถึง 42 วัน",IF(F13&gt;H13,"สูงกว่าเป้า","ตามเป้า"))</f>
        <v/>
      </c>
      <c r="J13" s="9">
        <f>"สัปดาห์ "&amp;ROUNDUP(C13/7,0)&amp;" · "&amp;TEXT(B13,"yyyy-mm-dd")</f>
        <v/>
      </c>
    </row>
    <row r="14">
      <c r="A14" s="9">
        <f>Raw_Data!A14</f>
        <v/>
      </c>
      <c r="B14" s="10">
        <f>Raw_Data!B14</f>
        <v/>
      </c>
      <c r="C14" s="9">
        <f>Raw_Data!C14</f>
        <v/>
      </c>
      <c r="D14" s="11">
        <f>Raw_Data!G14-Raw_Data!F14</f>
        <v/>
      </c>
      <c r="E14" s="12">
        <f>IF(AND(ISNUMBER(Raw_Data!D14),Raw_Data!D14&gt;$N$2),(Raw_Data!D14-$N$2)/1000*D14,NA())</f>
        <v/>
      </c>
      <c r="F14" s="13">
        <f>IFERROR(IF(E14&gt;0,Raw_Data!E14/E14,NA()),NA())</f>
        <v/>
      </c>
      <c r="G14" s="14">
        <f>IF(Raw_Data!G14&gt;0,Raw_Data!F14/Raw_Data!G14*100,NA())</f>
        <v/>
      </c>
      <c r="H14" s="14">
        <f>IFERROR(INDEX(Master_Data!$F$2:$F$5,MATCH(A14,Master_Data!$A$2:$A$5,0)),"ไม่พบฟาร์ม")</f>
        <v/>
      </c>
      <c r="I14" s="9">
        <f>IF(C14&lt;42,"ยังไม่ถึง 42 วัน",IF(F14&gt;H14,"สูงกว่าเป้า","ตามเป้า"))</f>
        <v/>
      </c>
      <c r="J14" s="9">
        <f>"สัปดาห์ "&amp;ROUNDUP(C14/7,0)&amp;" · "&amp;TEXT(B14,"yyyy-mm-dd")</f>
        <v/>
      </c>
    </row>
    <row r="15">
      <c r="A15" s="9">
        <f>Raw_Data!A15</f>
        <v/>
      </c>
      <c r="B15" s="10">
        <f>Raw_Data!B15</f>
        <v/>
      </c>
      <c r="C15" s="9">
        <f>Raw_Data!C15</f>
        <v/>
      </c>
      <c r="D15" s="11">
        <f>Raw_Data!G15-Raw_Data!F15</f>
        <v/>
      </c>
      <c r="E15" s="12">
        <f>IF(AND(ISNUMBER(Raw_Data!D15),Raw_Data!D15&gt;$N$2),(Raw_Data!D15-$N$2)/1000*D15,NA())</f>
        <v/>
      </c>
      <c r="F15" s="13">
        <f>IFERROR(IF(E15&gt;0,Raw_Data!E15/E15,NA()),NA())</f>
        <v/>
      </c>
      <c r="G15" s="14">
        <f>IF(Raw_Data!G15&gt;0,Raw_Data!F15/Raw_Data!G15*100,NA())</f>
        <v/>
      </c>
      <c r="H15" s="14">
        <f>IFERROR(INDEX(Master_Data!$F$2:$F$5,MATCH(A15,Master_Data!$A$2:$A$5,0)),"ไม่พบฟาร์ม")</f>
        <v/>
      </c>
      <c r="I15" s="9">
        <f>IF(C15&lt;42,"ยังไม่ถึง 42 วัน",IF(F15&gt;H15,"สูงกว่าเป้า","ตามเป้า"))</f>
        <v/>
      </c>
      <c r="J15" s="9">
        <f>"สัปดาห์ "&amp;ROUNDUP(C15/7,0)&amp;" · "&amp;TEXT(B15,"yyyy-mm-dd")</f>
        <v/>
      </c>
    </row>
    <row r="16">
      <c r="A16" s="9">
        <f>Raw_Data!A16</f>
        <v/>
      </c>
      <c r="B16" s="10">
        <f>Raw_Data!B16</f>
        <v/>
      </c>
      <c r="C16" s="9">
        <f>Raw_Data!C16</f>
        <v/>
      </c>
      <c r="D16" s="11">
        <f>Raw_Data!G16-Raw_Data!F16</f>
        <v/>
      </c>
      <c r="E16" s="12">
        <f>IF(AND(ISNUMBER(Raw_Data!D16),Raw_Data!D16&gt;$N$2),(Raw_Data!D16-$N$2)/1000*D16,NA())</f>
        <v/>
      </c>
      <c r="F16" s="13">
        <f>IFERROR(IF(E16&gt;0,Raw_Data!E16/E16,NA()),NA())</f>
        <v/>
      </c>
      <c r="G16" s="14">
        <f>IF(Raw_Data!G16&gt;0,Raw_Data!F16/Raw_Data!G16*100,NA())</f>
        <v/>
      </c>
      <c r="H16" s="14">
        <f>IFERROR(INDEX(Master_Data!$F$2:$F$5,MATCH(A16,Master_Data!$A$2:$A$5,0)),"ไม่พบฟาร์ม")</f>
        <v/>
      </c>
      <c r="I16" s="9">
        <f>IF(C16&lt;42,"ยังไม่ถึง 42 วัน",IF(F16&gt;H16,"สูงกว่าเป้า","ตามเป้า"))</f>
        <v/>
      </c>
      <c r="J16" s="9">
        <f>"สัปดาห์ "&amp;ROUNDUP(C16/7,0)&amp;" · "&amp;TEXT(B16,"yyyy-mm-dd")</f>
        <v/>
      </c>
    </row>
    <row r="17">
      <c r="A17" s="9">
        <f>Raw_Data!A17</f>
        <v/>
      </c>
      <c r="B17" s="10">
        <f>Raw_Data!B17</f>
        <v/>
      </c>
      <c r="C17" s="9">
        <f>Raw_Data!C17</f>
        <v/>
      </c>
      <c r="D17" s="11">
        <f>Raw_Data!G17-Raw_Data!F17</f>
        <v/>
      </c>
      <c r="E17" s="12">
        <f>IF(AND(ISNUMBER(Raw_Data!D17),Raw_Data!D17&gt;$N$2),(Raw_Data!D17-$N$2)/1000*D17,NA())</f>
        <v/>
      </c>
      <c r="F17" s="13">
        <f>IFERROR(IF(E17&gt;0,Raw_Data!E17/E17,NA()),NA())</f>
        <v/>
      </c>
      <c r="G17" s="14">
        <f>IF(Raw_Data!G17&gt;0,Raw_Data!F17/Raw_Data!G17*100,NA())</f>
        <v/>
      </c>
      <c r="H17" s="14">
        <f>IFERROR(INDEX(Master_Data!$F$2:$F$5,MATCH(A17,Master_Data!$A$2:$A$5,0)),"ไม่พบฟาร์ม")</f>
        <v/>
      </c>
      <c r="I17" s="9">
        <f>IF(C17&lt;42,"ยังไม่ถึง 42 วัน",IF(F17&gt;H17,"สูงกว่าเป้า","ตามเป้า"))</f>
        <v/>
      </c>
      <c r="J17" s="9">
        <f>"สัปดาห์ "&amp;ROUNDUP(C17/7,0)&amp;" · "&amp;TEXT(B17,"yyyy-mm-dd")</f>
        <v/>
      </c>
    </row>
    <row r="18">
      <c r="A18" s="9">
        <f>Raw_Data!A18</f>
        <v/>
      </c>
      <c r="B18" s="10">
        <f>Raw_Data!B18</f>
        <v/>
      </c>
      <c r="C18" s="9">
        <f>Raw_Data!C18</f>
        <v/>
      </c>
      <c r="D18" s="11">
        <f>Raw_Data!G18-Raw_Data!F18</f>
        <v/>
      </c>
      <c r="E18" s="12">
        <f>IF(AND(ISNUMBER(Raw_Data!D18),Raw_Data!D18&gt;$N$2),(Raw_Data!D18-$N$2)/1000*D18,NA())</f>
        <v/>
      </c>
      <c r="F18" s="13">
        <f>IFERROR(IF(E18&gt;0,Raw_Data!E18/E18,NA()),NA())</f>
        <v/>
      </c>
      <c r="G18" s="14">
        <f>IF(Raw_Data!G18&gt;0,Raw_Data!F18/Raw_Data!G18*100,NA())</f>
        <v/>
      </c>
      <c r="H18" s="14">
        <f>IFERROR(INDEX(Master_Data!$F$2:$F$5,MATCH(A18,Master_Data!$A$2:$A$5,0)),"ไม่พบฟาร์ม")</f>
        <v/>
      </c>
      <c r="I18" s="9">
        <f>IF(C18&lt;42,"ยังไม่ถึง 42 วัน",IF(F18&gt;H18,"สูงกว่าเป้า","ตามเป้า"))</f>
        <v/>
      </c>
      <c r="J18" s="9">
        <f>"สัปดาห์ "&amp;ROUNDUP(C18/7,0)&amp;" · "&amp;TEXT(B18,"yyyy-mm-dd")</f>
        <v/>
      </c>
    </row>
    <row r="19">
      <c r="A19" s="9">
        <f>Raw_Data!A19</f>
        <v/>
      </c>
      <c r="B19" s="10">
        <f>Raw_Data!B19</f>
        <v/>
      </c>
      <c r="C19" s="9">
        <f>Raw_Data!C19</f>
        <v/>
      </c>
      <c r="D19" s="11">
        <f>Raw_Data!G19-Raw_Data!F19</f>
        <v/>
      </c>
      <c r="E19" s="12">
        <f>IF(AND(ISNUMBER(Raw_Data!D19),Raw_Data!D19&gt;$N$2),(Raw_Data!D19-$N$2)/1000*D19,NA())</f>
        <v/>
      </c>
      <c r="F19" s="13">
        <f>IFERROR(IF(E19&gt;0,Raw_Data!E19/E19,NA()),NA())</f>
        <v/>
      </c>
      <c r="G19" s="14">
        <f>IF(Raw_Data!G19&gt;0,Raw_Data!F19/Raw_Data!G19*100,NA())</f>
        <v/>
      </c>
      <c r="H19" s="14">
        <f>IFERROR(INDEX(Master_Data!$F$2:$F$5,MATCH(A19,Master_Data!$A$2:$A$5,0)),"ไม่พบฟาร์ม")</f>
        <v/>
      </c>
      <c r="I19" s="9">
        <f>IF(C19&lt;42,"ยังไม่ถึง 42 วัน",IF(F19&gt;H19,"สูงกว่าเป้า","ตามเป้า"))</f>
        <v/>
      </c>
      <c r="J19" s="9">
        <f>"สัปดาห์ "&amp;ROUNDUP(C19/7,0)&amp;" · "&amp;TEXT(B19,"yyyy-mm-dd")</f>
        <v/>
      </c>
    </row>
    <row r="20">
      <c r="A20" s="9">
        <f>Raw_Data!A20</f>
        <v/>
      </c>
      <c r="B20" s="10">
        <f>Raw_Data!B20</f>
        <v/>
      </c>
      <c r="C20" s="9">
        <f>Raw_Data!C20</f>
        <v/>
      </c>
      <c r="D20" s="11">
        <f>Raw_Data!G20-Raw_Data!F20</f>
        <v/>
      </c>
      <c r="E20" s="12">
        <f>IF(AND(ISNUMBER(Raw_Data!D20),Raw_Data!D20&gt;$N$2),(Raw_Data!D20-$N$2)/1000*D20,NA())</f>
        <v/>
      </c>
      <c r="F20" s="13">
        <f>IFERROR(IF(E20&gt;0,Raw_Data!E20/E20,NA()),NA())</f>
        <v/>
      </c>
      <c r="G20" s="14">
        <f>IF(Raw_Data!G20&gt;0,Raw_Data!F20/Raw_Data!G20*100,NA())</f>
        <v/>
      </c>
      <c r="H20" s="14">
        <f>IFERROR(INDEX(Master_Data!$F$2:$F$5,MATCH(A20,Master_Data!$A$2:$A$5,0)),"ไม่พบฟาร์ม")</f>
        <v/>
      </c>
      <c r="I20" s="9">
        <f>IF(C20&lt;42,"ยังไม่ถึง 42 วัน",IF(F20&gt;H20,"สูงกว่าเป้า","ตามเป้า"))</f>
        <v/>
      </c>
      <c r="J20" s="9">
        <f>"สัปดาห์ "&amp;ROUNDUP(C20/7,0)&amp;" · "&amp;TEXT(B20,"yyyy-mm-dd")</f>
        <v/>
      </c>
    </row>
    <row r="21">
      <c r="A21" s="9">
        <f>Raw_Data!A21</f>
        <v/>
      </c>
      <c r="B21" s="10">
        <f>Raw_Data!B21</f>
        <v/>
      </c>
      <c r="C21" s="9">
        <f>Raw_Data!C21</f>
        <v/>
      </c>
      <c r="D21" s="11">
        <f>Raw_Data!G21-Raw_Data!F21</f>
        <v/>
      </c>
      <c r="E21" s="12">
        <f>IF(AND(ISNUMBER(Raw_Data!D21),Raw_Data!D21&gt;$N$2),(Raw_Data!D21-$N$2)/1000*D21,NA())</f>
        <v/>
      </c>
      <c r="F21" s="13">
        <f>IFERROR(IF(E21&gt;0,Raw_Data!E21/E21,NA()),NA())</f>
        <v/>
      </c>
      <c r="G21" s="14">
        <f>IF(Raw_Data!G21&gt;0,Raw_Data!F21/Raw_Data!G21*100,NA())</f>
        <v/>
      </c>
      <c r="H21" s="14">
        <f>IFERROR(INDEX(Master_Data!$F$2:$F$5,MATCH(A21,Master_Data!$A$2:$A$5,0)),"ไม่พบฟาร์ม")</f>
        <v/>
      </c>
      <c r="I21" s="9">
        <f>IF(C21&lt;42,"ยังไม่ถึง 42 วัน",IF(F21&gt;H21,"สูงกว่าเป้า","ตามเป้า"))</f>
        <v/>
      </c>
      <c r="J21" s="9">
        <f>"สัปดาห์ "&amp;ROUNDUP(C21/7,0)&amp;" · "&amp;TEXT(B21,"yyyy-mm-dd")</f>
        <v/>
      </c>
    </row>
    <row r="22">
      <c r="A22" s="9">
        <f>Raw_Data!A22</f>
        <v/>
      </c>
      <c r="B22" s="10">
        <f>Raw_Data!B22</f>
        <v/>
      </c>
      <c r="C22" s="9">
        <f>Raw_Data!C22</f>
        <v/>
      </c>
      <c r="D22" s="11">
        <f>Raw_Data!G22-Raw_Data!F22</f>
        <v/>
      </c>
      <c r="E22" s="12">
        <f>IF(AND(ISNUMBER(Raw_Data!D22),Raw_Data!D22&gt;$N$2),(Raw_Data!D22-$N$2)/1000*D22,NA())</f>
        <v/>
      </c>
      <c r="F22" s="13">
        <f>IFERROR(IF(E22&gt;0,Raw_Data!E22/E22,NA()),NA())</f>
        <v/>
      </c>
      <c r="G22" s="14">
        <f>IF(Raw_Data!G22&gt;0,Raw_Data!F22/Raw_Data!G22*100,NA())</f>
        <v/>
      </c>
      <c r="H22" s="14">
        <f>IFERROR(INDEX(Master_Data!$F$2:$F$5,MATCH(A22,Master_Data!$A$2:$A$5,0)),"ไม่พบฟาร์ม")</f>
        <v/>
      </c>
      <c r="I22" s="9">
        <f>IF(C22&lt;42,"ยังไม่ถึง 42 วัน",IF(F22&gt;H22,"สูงกว่าเป้า","ตามเป้า"))</f>
        <v/>
      </c>
      <c r="J22" s="9">
        <f>"สัปดาห์ "&amp;ROUNDUP(C22/7,0)&amp;" · "&amp;TEXT(B22,"yyyy-mm-dd")</f>
        <v/>
      </c>
    </row>
    <row r="23">
      <c r="A23" s="9">
        <f>Raw_Data!A23</f>
        <v/>
      </c>
      <c r="B23" s="10">
        <f>Raw_Data!B23</f>
        <v/>
      </c>
      <c r="C23" s="9">
        <f>Raw_Data!C23</f>
        <v/>
      </c>
      <c r="D23" s="11">
        <f>Raw_Data!G23-Raw_Data!F23</f>
        <v/>
      </c>
      <c r="E23" s="12">
        <f>IF(AND(ISNUMBER(Raw_Data!D23),Raw_Data!D23&gt;$N$2),(Raw_Data!D23-$N$2)/1000*D23,NA())</f>
        <v/>
      </c>
      <c r="F23" s="13">
        <f>IFERROR(IF(E23&gt;0,Raw_Data!E23/E23,NA()),NA())</f>
        <v/>
      </c>
      <c r="G23" s="14">
        <f>IF(Raw_Data!G23&gt;0,Raw_Data!F23/Raw_Data!G23*100,NA())</f>
        <v/>
      </c>
      <c r="H23" s="14">
        <f>IFERROR(INDEX(Master_Data!$F$2:$F$5,MATCH(A23,Master_Data!$A$2:$A$5,0)),"ไม่พบฟาร์ม")</f>
        <v/>
      </c>
      <c r="I23" s="9">
        <f>IF(C23&lt;42,"ยังไม่ถึง 42 วัน",IF(F23&gt;H23,"สูงกว่าเป้า","ตามเป้า"))</f>
        <v/>
      </c>
      <c r="J23" s="9">
        <f>"สัปดาห์ "&amp;ROUNDUP(C23/7,0)&amp;" · "&amp;TEXT(B23,"yyyy-mm-dd")</f>
        <v/>
      </c>
    </row>
    <row r="24">
      <c r="A24" s="9">
        <f>Raw_Data!A24</f>
        <v/>
      </c>
      <c r="B24" s="10">
        <f>Raw_Data!B24</f>
        <v/>
      </c>
      <c r="C24" s="9">
        <f>Raw_Data!C24</f>
        <v/>
      </c>
      <c r="D24" s="11">
        <f>Raw_Data!G24-Raw_Data!F24</f>
        <v/>
      </c>
      <c r="E24" s="12">
        <f>IF(AND(ISNUMBER(Raw_Data!D24),Raw_Data!D24&gt;$N$2),(Raw_Data!D24-$N$2)/1000*D24,NA())</f>
        <v/>
      </c>
      <c r="F24" s="13">
        <f>IFERROR(IF(E24&gt;0,Raw_Data!E24/E24,NA()),NA())</f>
        <v/>
      </c>
      <c r="G24" s="14">
        <f>IF(Raw_Data!G24&gt;0,Raw_Data!F24/Raw_Data!G24*100,NA())</f>
        <v/>
      </c>
      <c r="H24" s="14">
        <f>IFERROR(INDEX(Master_Data!$F$2:$F$5,MATCH(A24,Master_Data!$A$2:$A$5,0)),"ไม่พบฟาร์ม")</f>
        <v/>
      </c>
      <c r="I24" s="9">
        <f>IF(C24&lt;42,"ยังไม่ถึง 42 วัน",IF(F24&gt;H24,"สูงกว่าเป้า","ตามเป้า"))</f>
        <v/>
      </c>
      <c r="J24" s="9">
        <f>"สัปดาห์ "&amp;ROUNDUP(C24/7,0)&amp;" · "&amp;TEXT(B24,"yyyy-mm-dd")</f>
        <v/>
      </c>
    </row>
    <row r="25">
      <c r="A25" s="9">
        <f>Raw_Data!A25</f>
        <v/>
      </c>
      <c r="B25" s="10">
        <f>Raw_Data!B25</f>
        <v/>
      </c>
      <c r="C25" s="9">
        <f>Raw_Data!C25</f>
        <v/>
      </c>
      <c r="D25" s="11">
        <f>Raw_Data!G25-Raw_Data!F25</f>
        <v/>
      </c>
      <c r="E25" s="12">
        <f>IF(AND(ISNUMBER(Raw_Data!D25),Raw_Data!D25&gt;$N$2),(Raw_Data!D25-$N$2)/1000*D25,NA())</f>
        <v/>
      </c>
      <c r="F25" s="13">
        <f>IFERROR(IF(E25&gt;0,Raw_Data!E25/E25,NA()),NA())</f>
        <v/>
      </c>
      <c r="G25" s="14">
        <f>IF(Raw_Data!G25&gt;0,Raw_Data!F25/Raw_Data!G25*100,NA())</f>
        <v/>
      </c>
      <c r="H25" s="14">
        <f>IFERROR(INDEX(Master_Data!$F$2:$F$5,MATCH(A25,Master_Data!$A$2:$A$5,0)),"ไม่พบฟาร์ม")</f>
        <v/>
      </c>
      <c r="I25" s="9">
        <f>IF(C25&lt;42,"ยังไม่ถึง 42 วัน",IF(F25&gt;H25,"สูงกว่าเป้า","ตามเป้า"))</f>
        <v/>
      </c>
      <c r="J25" s="9">
        <f>"สัปดาห์ "&amp;ROUNDUP(C25/7,0)&amp;" · "&amp;TEXT(B25,"yyyy-mm-dd")</f>
        <v/>
      </c>
    </row>
    <row r="27">
      <c r="A27" s="16" t="inlineStr">
        <is>
          <t>สรุปรายฟาร์ม (อายุล่าสุด)</t>
        </is>
      </c>
    </row>
    <row r="28">
      <c r="A28" s="5" t="inlineStr">
        <is>
          <t>Farm_ID</t>
        </is>
      </c>
      <c r="B28" s="5" t="inlineStr">
        <is>
          <t>Last_Age</t>
        </is>
      </c>
      <c r="C28" s="5" t="inlineStr">
        <is>
          <t>Last_Date</t>
        </is>
      </c>
      <c r="D28" s="5" t="inlineStr">
        <is>
          <t>Body_Weight_g</t>
        </is>
      </c>
      <c r="E28" s="5" t="inlineStr">
        <is>
          <t>FCR</t>
        </is>
      </c>
      <c r="F28" s="5" t="inlineStr">
        <is>
          <t>Mortality_%</t>
        </is>
      </c>
      <c r="G28" s="5" t="inlineStr">
        <is>
          <t>Feed_Cum_kg</t>
        </is>
      </c>
      <c r="H28" s="5" t="inlineStr">
        <is>
          <t>Rows</t>
        </is>
      </c>
      <c r="I28" s="5" t="inlineStr">
        <is>
          <t>Avg_BW_all_rows</t>
        </is>
      </c>
    </row>
    <row r="29">
      <c r="A29" s="15" t="inlineStr">
        <is>
          <t>F001</t>
        </is>
      </c>
      <c r="B29" s="9">
        <f>_xlfn.MAXIFS(Raw_Data!$C$2:$C$25,Raw_Data!$A$2:$A$25,A29)</f>
        <v/>
      </c>
      <c r="C29" s="10">
        <f>_xlfn.MAXIFS(Raw_Data!$B$2:$B$25,Raw_Data!$A$2:$A$25,A29)</f>
        <v/>
      </c>
      <c r="D29" s="9">
        <f>SUMIFS(Raw_Data!$D$2:$D$25,Raw_Data!$A$2:$A$25,A29,Raw_Data!$C$2:$C$25,B29)</f>
        <v/>
      </c>
      <c r="E29" s="13">
        <f>SUMIFS($F$2:$F$25,$A$2:$A$25,A29,$C$2:$C$25,B29)</f>
        <v/>
      </c>
      <c r="F29" s="14">
        <f>SUMIFS($G$2:$G$25,$A$2:$A$25,A29,$C$2:$C$25,B29)</f>
        <v/>
      </c>
      <c r="G29" s="11">
        <f>SUMIFS(Raw_Data!$E$2:$E$25,Raw_Data!$A$2:$A$25,A29,Raw_Data!$C$2:$C$25,B29)</f>
        <v/>
      </c>
      <c r="H29" s="9">
        <f>COUNTIF(Raw_Data!$A$2:$A$25,A29)</f>
        <v/>
      </c>
      <c r="I29" s="17">
        <f>AVERAGEIFS(Raw_Data!$D$2:$D$25,Raw_Data!$A$2:$A$25,A29)</f>
        <v/>
      </c>
    </row>
    <row r="30">
      <c r="A30" s="15" t="inlineStr">
        <is>
          <t>F002</t>
        </is>
      </c>
      <c r="B30" s="9">
        <f>_xlfn.MAXIFS(Raw_Data!$C$2:$C$25,Raw_Data!$A$2:$A$25,A30)</f>
        <v/>
      </c>
      <c r="C30" s="10">
        <f>_xlfn.MAXIFS(Raw_Data!$B$2:$B$25,Raw_Data!$A$2:$A$25,A30)</f>
        <v/>
      </c>
      <c r="D30" s="9">
        <f>SUMIFS(Raw_Data!$D$2:$D$25,Raw_Data!$A$2:$A$25,A30,Raw_Data!$C$2:$C$25,B30)</f>
        <v/>
      </c>
      <c r="E30" s="13">
        <f>SUMIFS($F$2:$F$25,$A$2:$A$25,A30,$C$2:$C$25,B30)</f>
        <v/>
      </c>
      <c r="F30" s="14">
        <f>SUMIFS($G$2:$G$25,$A$2:$A$25,A30,$C$2:$C$25,B30)</f>
        <v/>
      </c>
      <c r="G30" s="11">
        <f>SUMIFS(Raw_Data!$E$2:$E$25,Raw_Data!$A$2:$A$25,A30,Raw_Data!$C$2:$C$25,B30)</f>
        <v/>
      </c>
      <c r="H30" s="9">
        <f>COUNTIF(Raw_Data!$A$2:$A$25,A30)</f>
        <v/>
      </c>
      <c r="I30" s="17">
        <f>AVERAGEIFS(Raw_Data!$D$2:$D$25,Raw_Data!$A$2:$A$25,A30)</f>
        <v/>
      </c>
    </row>
    <row r="31">
      <c r="A31" s="15" t="inlineStr">
        <is>
          <t>F003</t>
        </is>
      </c>
      <c r="B31" s="9">
        <f>_xlfn.MAXIFS(Raw_Data!$C$2:$C$25,Raw_Data!$A$2:$A$25,A31)</f>
        <v/>
      </c>
      <c r="C31" s="10">
        <f>_xlfn.MAXIFS(Raw_Data!$B$2:$B$25,Raw_Data!$A$2:$A$25,A31)</f>
        <v/>
      </c>
      <c r="D31" s="9">
        <f>SUMIFS(Raw_Data!$D$2:$D$25,Raw_Data!$A$2:$A$25,A31,Raw_Data!$C$2:$C$25,B31)</f>
        <v/>
      </c>
      <c r="E31" s="13">
        <f>SUMIFS($F$2:$F$25,$A$2:$A$25,A31,$C$2:$C$25,B31)</f>
        <v/>
      </c>
      <c r="F31" s="14">
        <f>SUMIFS($G$2:$G$25,$A$2:$A$25,A31,$C$2:$C$25,B31)</f>
        <v/>
      </c>
      <c r="G31" s="11">
        <f>SUMIFS(Raw_Data!$E$2:$E$25,Raw_Data!$A$2:$A$25,A31,Raw_Data!$C$2:$C$25,B31)</f>
        <v/>
      </c>
      <c r="H31" s="9">
        <f>COUNTIF(Raw_Data!$A$2:$A$25,A31)</f>
        <v/>
      </c>
      <c r="I31" s="17">
        <f>AVERAGEIFS(Raw_Data!$D$2:$D$25,Raw_Data!$A$2:$A$25,A31)</f>
        <v/>
      </c>
    </row>
    <row r="32">
      <c r="A32" s="15" t="inlineStr">
        <is>
          <t>F004</t>
        </is>
      </c>
      <c r="B32" s="9">
        <f>_xlfn.MAXIFS(Raw_Data!$C$2:$C$25,Raw_Data!$A$2:$A$25,A32)</f>
        <v/>
      </c>
      <c r="C32" s="10">
        <f>_xlfn.MAXIFS(Raw_Data!$B$2:$B$25,Raw_Data!$A$2:$A$25,A32)</f>
        <v/>
      </c>
      <c r="D32" s="9">
        <f>SUMIFS(Raw_Data!$D$2:$D$25,Raw_Data!$A$2:$A$25,A32,Raw_Data!$C$2:$C$25,B32)</f>
        <v/>
      </c>
      <c r="E32" s="13">
        <f>SUMIFS($F$2:$F$25,$A$2:$A$25,A32,$C$2:$C$25,B32)</f>
        <v/>
      </c>
      <c r="F32" s="14">
        <f>SUMIFS($G$2:$G$25,$A$2:$A$25,A32,$C$2:$C$25,B32)</f>
        <v/>
      </c>
      <c r="G32" s="11">
        <f>SUMIFS(Raw_Data!$E$2:$E$25,Raw_Data!$A$2:$A$25,A32,Raw_Data!$C$2:$C$25,B32)</f>
        <v/>
      </c>
      <c r="H32" s="9">
        <f>COUNTIF(Raw_Data!$A$2:$A$25,A32)</f>
        <v/>
      </c>
      <c r="I32" s="17">
        <f>AVERAGEIFS(Raw_Data!$D$2:$D$25,Raw_Data!$A$2:$A$25,A32)</f>
        <v/>
      </c>
    </row>
    <row r="35">
      <c r="A35" s="16" t="inlineStr">
        <is>
          <t>สถิติน้ำหนักตัวอย่าง F001 อายุ 21 วัน (Weight_Samples!B2:B101, กรัม)</t>
        </is>
      </c>
    </row>
    <row r="36">
      <c r="A36" s="3" t="inlineStr">
        <is>
          <t>n</t>
        </is>
      </c>
      <c r="B36" s="18">
        <f>COUNT(Weight_Samples!$B$2:$B$101)</f>
        <v/>
      </c>
    </row>
    <row r="37">
      <c r="A37" s="3" t="inlineStr">
        <is>
          <t>Mean</t>
        </is>
      </c>
      <c r="B37" s="14">
        <f>AVERAGE(Weight_Samples!$B$2:$B$101)</f>
        <v/>
      </c>
    </row>
    <row r="38">
      <c r="A38" s="3" t="inlineStr">
        <is>
          <t>Median</t>
        </is>
      </c>
      <c r="B38" s="14">
        <f>MEDIAN(Weight_Samples!$B$2:$B$101)</f>
        <v/>
      </c>
    </row>
    <row r="39">
      <c r="A39" s="3" t="inlineStr">
        <is>
          <t>SD (Sample)</t>
        </is>
      </c>
      <c r="B39" s="14">
        <f>_xlfn.STDEV.S(Weight_Samples!$B$2:$B$101)</f>
        <v/>
      </c>
    </row>
    <row r="40">
      <c r="A40" s="3" t="inlineStr">
        <is>
          <t>CV%</t>
        </is>
      </c>
      <c r="B40" s="14">
        <f>IF(OR(COUNT(Weight_Samples!$B$2:$B$101)&lt;2,AVERAGE(Weight_Samples!$B$2:$B$101)=0),NA(),_xlfn.STDEV.S(Weight_Samples!$B$2:$B$101)/AVERAGE(Weight_Samples!$B$2:$B$101)*100)</f>
        <v/>
      </c>
      <c r="C40" s="2" t="inlineStr">
        <is>
          <t>อย่าตีความ %CV เป็นเกณฑ์มาตรฐานสายพันธุ์โดยไม่มีข้อมูลอ้างอิง</t>
        </is>
      </c>
    </row>
    <row r="41">
      <c r="A41" s="3" t="inlineStr">
        <is>
          <t>P10</t>
        </is>
      </c>
      <c r="B41" s="14">
        <f>_xlfn.PERCENTILE.INC(Weight_Samples!$B$2:$B$101,0.1)</f>
        <v/>
      </c>
    </row>
    <row r="42">
      <c r="A42" s="3" t="inlineStr">
        <is>
          <t>P90</t>
        </is>
      </c>
      <c r="B42" s="14">
        <f>_xlfn.PERCENTILE.INC(Weight_Samples!$B$2:$B$101,0.9)</f>
        <v/>
      </c>
    </row>
    <row r="43">
      <c r="A43" s="3" t="inlineStr">
        <is>
          <t>IQR</t>
        </is>
      </c>
      <c r="B43" s="14">
        <f>_xlfn.QUARTILE.INC(Weight_Samples!$B$2:$B$101,3)-_xlfn.QUARTILE.INC(Weight_Samples!$B$2:$B$101,1)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5" t="inlineStr">
        <is>
          <t>Bird_No</t>
        </is>
      </c>
      <c r="B1" s="5" t="inlineStr">
        <is>
          <t>Body_Weight_g</t>
        </is>
      </c>
    </row>
    <row r="2">
      <c r="A2" t="n">
        <v>1</v>
      </c>
      <c r="B2" s="15" t="n">
        <v>1000</v>
      </c>
    </row>
    <row r="3">
      <c r="A3" t="n">
        <v>2</v>
      </c>
      <c r="B3" s="15" t="n">
        <v>1072</v>
      </c>
    </row>
    <row r="4">
      <c r="A4" t="n">
        <v>3</v>
      </c>
      <c r="B4" s="15" t="n">
        <v>902</v>
      </c>
    </row>
    <row r="5">
      <c r="A5" t="n">
        <v>4</v>
      </c>
      <c r="B5" s="15" t="n">
        <v>798</v>
      </c>
    </row>
    <row r="6">
      <c r="A6" t="n">
        <v>5</v>
      </c>
      <c r="B6" s="15" t="n">
        <v>933</v>
      </c>
    </row>
    <row r="7">
      <c r="A7" t="n">
        <v>6</v>
      </c>
      <c r="B7" s="15" t="n">
        <v>1003</v>
      </c>
    </row>
    <row r="8">
      <c r="A8" t="n">
        <v>7</v>
      </c>
      <c r="B8" s="15" t="n">
        <v>912</v>
      </c>
    </row>
    <row r="9">
      <c r="A9" t="n">
        <v>8</v>
      </c>
      <c r="B9" s="15" t="n">
        <v>941</v>
      </c>
    </row>
    <row r="10">
      <c r="A10" t="n">
        <v>9</v>
      </c>
      <c r="B10" s="15" t="n">
        <v>1058</v>
      </c>
    </row>
    <row r="11">
      <c r="A11" t="n">
        <v>10</v>
      </c>
      <c r="B11" s="15" t="n">
        <v>963</v>
      </c>
    </row>
    <row r="12">
      <c r="A12" t="n">
        <v>11</v>
      </c>
      <c r="B12" s="15" t="n">
        <v>794</v>
      </c>
    </row>
    <row r="13">
      <c r="A13" t="n">
        <v>12</v>
      </c>
      <c r="B13" s="15" t="n">
        <v>872</v>
      </c>
    </row>
    <row r="14">
      <c r="A14" t="n">
        <v>13</v>
      </c>
      <c r="B14" s="15" t="n">
        <v>1023</v>
      </c>
    </row>
    <row r="15">
      <c r="A15" t="n">
        <v>14</v>
      </c>
      <c r="B15" s="15" t="n">
        <v>969</v>
      </c>
    </row>
    <row r="16">
      <c r="A16" t="n">
        <v>15</v>
      </c>
      <c r="B16" s="15" t="n">
        <v>908</v>
      </c>
    </row>
    <row r="17">
      <c r="A17" t="n">
        <v>16</v>
      </c>
      <c r="B17" s="15" t="n">
        <v>1010</v>
      </c>
    </row>
    <row r="18">
      <c r="A18" t="n">
        <v>17</v>
      </c>
      <c r="B18" s="15" t="n">
        <v>1008</v>
      </c>
    </row>
    <row r="19">
      <c r="A19" t="n">
        <v>18</v>
      </c>
      <c r="B19" s="15" t="n">
        <v>829</v>
      </c>
    </row>
    <row r="20">
      <c r="A20" t="n">
        <v>19</v>
      </c>
      <c r="B20" s="15" t="n">
        <v>818</v>
      </c>
    </row>
    <row r="21">
      <c r="A21" t="n">
        <v>20</v>
      </c>
      <c r="B21" s="15" t="n">
        <v>1003</v>
      </c>
    </row>
    <row r="22">
      <c r="A22" t="n">
        <v>21</v>
      </c>
      <c r="B22" s="15" t="n">
        <v>1030</v>
      </c>
    </row>
    <row r="23">
      <c r="A23" t="n">
        <v>22</v>
      </c>
      <c r="B23" s="15" t="n">
        <v>914</v>
      </c>
    </row>
    <row r="24">
      <c r="A24" t="n">
        <v>23</v>
      </c>
      <c r="B24" s="15" t="n">
        <v>947</v>
      </c>
    </row>
    <row r="25">
      <c r="A25" t="n">
        <v>24</v>
      </c>
      <c r="B25" s="15" t="n">
        <v>1017</v>
      </c>
    </row>
    <row r="26">
      <c r="A26" t="n">
        <v>25</v>
      </c>
      <c r="B26" s="15" t="n">
        <v>888</v>
      </c>
    </row>
    <row r="27">
      <c r="A27" t="n">
        <v>26</v>
      </c>
      <c r="B27" s="15" t="n">
        <v>793</v>
      </c>
    </row>
    <row r="28">
      <c r="A28" t="n">
        <v>27</v>
      </c>
      <c r="B28" s="15" t="n">
        <v>951</v>
      </c>
    </row>
    <row r="29">
      <c r="A29" t="n">
        <v>28</v>
      </c>
      <c r="B29" s="15" t="n">
        <v>1070</v>
      </c>
    </row>
    <row r="30">
      <c r="A30" t="n">
        <v>29</v>
      </c>
      <c r="B30" s="15" t="n">
        <v>956</v>
      </c>
    </row>
    <row r="31">
      <c r="A31" t="n">
        <v>30</v>
      </c>
      <c r="B31" s="15" t="n">
        <v>896</v>
      </c>
    </row>
    <row r="32">
      <c r="A32" t="n">
        <v>31</v>
      </c>
      <c r="B32" s="15" t="n">
        <v>986</v>
      </c>
    </row>
    <row r="33">
      <c r="A33" t="n">
        <v>32</v>
      </c>
      <c r="B33" s="15" t="n">
        <v>946</v>
      </c>
    </row>
    <row r="34">
      <c r="A34" t="n">
        <v>33</v>
      </c>
      <c r="B34" s="15" t="n">
        <v>809</v>
      </c>
    </row>
    <row r="35">
      <c r="A35" t="n">
        <v>34</v>
      </c>
      <c r="B35" s="15" t="n">
        <v>890</v>
      </c>
    </row>
    <row r="36">
      <c r="A36" t="n">
        <v>35</v>
      </c>
      <c r="B36" s="15" t="n">
        <v>1071</v>
      </c>
    </row>
    <row r="37">
      <c r="A37" t="n">
        <v>36</v>
      </c>
      <c r="B37" s="15" t="n">
        <v>1018</v>
      </c>
    </row>
    <row r="38">
      <c r="A38" t="n">
        <v>37</v>
      </c>
      <c r="B38" s="15" t="n">
        <v>878</v>
      </c>
    </row>
    <row r="39">
      <c r="A39" t="n">
        <v>38</v>
      </c>
      <c r="B39" s="15" t="n">
        <v>928</v>
      </c>
    </row>
    <row r="40">
      <c r="A40" t="n">
        <v>39</v>
      </c>
      <c r="B40" s="15" t="n">
        <v>977</v>
      </c>
    </row>
    <row r="41">
      <c r="A41" t="n">
        <v>40</v>
      </c>
      <c r="B41" s="15" t="n">
        <v>858</v>
      </c>
    </row>
    <row r="42">
      <c r="A42" t="n">
        <v>41</v>
      </c>
      <c r="B42" s="15" t="n">
        <v>847</v>
      </c>
    </row>
    <row r="43">
      <c r="A43" t="n">
        <v>42</v>
      </c>
      <c r="B43" s="15" t="n">
        <v>1034</v>
      </c>
    </row>
    <row r="44">
      <c r="A44" t="n">
        <v>43</v>
      </c>
      <c r="B44" s="15" t="n">
        <v>1071</v>
      </c>
    </row>
    <row r="45">
      <c r="A45" t="n">
        <v>44</v>
      </c>
      <c r="B45" s="15" t="n">
        <v>901</v>
      </c>
    </row>
    <row r="46">
      <c r="A46" t="n">
        <v>45</v>
      </c>
      <c r="B46" s="15" t="n">
        <v>867</v>
      </c>
    </row>
    <row r="47">
      <c r="A47" t="n">
        <v>46</v>
      </c>
      <c r="B47" s="15" t="n">
        <v>968</v>
      </c>
    </row>
    <row r="48">
      <c r="A48" t="n">
        <v>47</v>
      </c>
      <c r="B48" s="15" t="n">
        <v>921</v>
      </c>
    </row>
    <row r="49">
      <c r="A49" t="n">
        <v>48</v>
      </c>
      <c r="B49" s="15" t="n">
        <v>840</v>
      </c>
    </row>
    <row r="50">
      <c r="A50" t="n">
        <v>49</v>
      </c>
      <c r="B50" s="15" t="n">
        <v>975</v>
      </c>
    </row>
    <row r="51">
      <c r="A51" t="n">
        <v>50</v>
      </c>
      <c r="B51" s="15" t="n">
        <v>1094</v>
      </c>
    </row>
    <row r="52">
      <c r="A52" t="n">
        <v>51</v>
      </c>
      <c r="B52" s="15" t="n">
        <v>955</v>
      </c>
    </row>
    <row r="53">
      <c r="A53" t="n">
        <v>52</v>
      </c>
      <c r="B53" s="15" t="n">
        <v>829</v>
      </c>
    </row>
    <row r="54">
      <c r="A54" t="n">
        <v>53</v>
      </c>
      <c r="B54" s="15" t="n">
        <v>923</v>
      </c>
    </row>
    <row r="55">
      <c r="A55" t="n">
        <v>54</v>
      </c>
      <c r="B55" s="15" t="n">
        <v>970</v>
      </c>
    </row>
    <row r="56">
      <c r="A56" t="n">
        <v>55</v>
      </c>
      <c r="B56" s="15" t="n">
        <v>874</v>
      </c>
    </row>
    <row r="57">
      <c r="A57" t="n">
        <v>56</v>
      </c>
      <c r="B57" s="15" t="n">
        <v>919</v>
      </c>
    </row>
    <row r="58">
      <c r="A58" t="n">
        <v>57</v>
      </c>
      <c r="B58" s="15" t="n">
        <v>1077</v>
      </c>
    </row>
    <row r="59">
      <c r="A59" t="n">
        <v>58</v>
      </c>
      <c r="B59" s="15" t="n">
        <v>1015</v>
      </c>
    </row>
    <row r="60">
      <c r="A60" t="n">
        <v>59</v>
      </c>
      <c r="B60" s="15" t="n">
        <v>830</v>
      </c>
    </row>
    <row r="61">
      <c r="A61" t="n">
        <v>60</v>
      </c>
      <c r="B61" s="15" t="n">
        <v>861</v>
      </c>
    </row>
    <row r="62">
      <c r="A62" t="n">
        <v>61</v>
      </c>
      <c r="B62" s="15" t="n">
        <v>985</v>
      </c>
    </row>
    <row r="63">
      <c r="A63" t="n">
        <v>62</v>
      </c>
      <c r="B63" s="15" t="n">
        <v>933</v>
      </c>
    </row>
    <row r="64">
      <c r="A64" t="n">
        <v>63</v>
      </c>
      <c r="B64" s="15" t="n">
        <v>890</v>
      </c>
    </row>
    <row r="65">
      <c r="A65" t="n">
        <v>64</v>
      </c>
      <c r="B65" s="15" t="n">
        <v>1026</v>
      </c>
    </row>
    <row r="66">
      <c r="A66" t="n">
        <v>65</v>
      </c>
      <c r="B66" s="15" t="n">
        <v>1057</v>
      </c>
    </row>
    <row r="67">
      <c r="A67" t="n">
        <v>66</v>
      </c>
      <c r="B67" s="15" t="n">
        <v>869</v>
      </c>
    </row>
    <row r="68">
      <c r="A68" t="n">
        <v>67</v>
      </c>
      <c r="B68" s="15" t="n">
        <v>808</v>
      </c>
    </row>
    <row r="69">
      <c r="A69" t="n">
        <v>68</v>
      </c>
      <c r="B69" s="15" t="n">
        <v>959</v>
      </c>
    </row>
    <row r="70">
      <c r="A70" t="n">
        <v>69</v>
      </c>
      <c r="B70" s="15" t="n">
        <v>993</v>
      </c>
    </row>
    <row r="71">
      <c r="A71" t="n">
        <v>70</v>
      </c>
      <c r="B71" s="15" t="n">
        <v>902</v>
      </c>
    </row>
    <row r="72">
      <c r="A72" t="n">
        <v>71</v>
      </c>
      <c r="B72" s="15" t="n">
        <v>964</v>
      </c>
    </row>
    <row r="73">
      <c r="A73" t="n">
        <v>72</v>
      </c>
      <c r="B73" s="15" t="n">
        <v>1061</v>
      </c>
    </row>
    <row r="74">
      <c r="A74" t="n">
        <v>73</v>
      </c>
      <c r="B74" s="15" t="n">
        <v>928</v>
      </c>
    </row>
    <row r="75">
      <c r="A75" t="n">
        <v>74</v>
      </c>
      <c r="B75" s="15" t="n">
        <v>787</v>
      </c>
    </row>
    <row r="76">
      <c r="A76" t="n">
        <v>75</v>
      </c>
      <c r="B76" s="15" t="n">
        <v>904</v>
      </c>
    </row>
    <row r="77">
      <c r="A77" t="n">
        <v>76</v>
      </c>
      <c r="B77" s="15" t="n">
        <v>1029</v>
      </c>
    </row>
    <row r="78">
      <c r="A78" t="n">
        <v>77</v>
      </c>
      <c r="B78" s="15" t="n">
        <v>949</v>
      </c>
    </row>
    <row r="79">
      <c r="A79" t="n">
        <v>78</v>
      </c>
      <c r="B79" s="15" t="n">
        <v>917</v>
      </c>
    </row>
    <row r="80">
      <c r="A80" t="n">
        <v>79</v>
      </c>
      <c r="B80" s="15" t="n">
        <v>1026</v>
      </c>
    </row>
    <row r="81">
      <c r="A81" t="n">
        <v>80</v>
      </c>
      <c r="B81" s="15" t="n">
        <v>983</v>
      </c>
    </row>
    <row r="82">
      <c r="A82" t="n">
        <v>81</v>
      </c>
      <c r="B82" s="15" t="n">
        <v>807</v>
      </c>
    </row>
    <row r="83">
      <c r="A83" t="n">
        <v>82</v>
      </c>
      <c r="B83" s="15" t="n">
        <v>844</v>
      </c>
    </row>
    <row r="84">
      <c r="A84" t="n">
        <v>83</v>
      </c>
      <c r="B84" s="15" t="n">
        <v>1026</v>
      </c>
    </row>
    <row r="85">
      <c r="A85" t="n">
        <v>84</v>
      </c>
      <c r="B85" s="15" t="n">
        <v>1011</v>
      </c>
    </row>
    <row r="86">
      <c r="A86" t="n">
        <v>85</v>
      </c>
      <c r="B86" s="15" t="n">
        <v>905</v>
      </c>
    </row>
    <row r="87">
      <c r="A87" t="n">
        <v>86</v>
      </c>
      <c r="B87" s="15" t="n">
        <v>966</v>
      </c>
    </row>
    <row r="88">
      <c r="A88" t="n">
        <v>87</v>
      </c>
      <c r="B88" s="15" t="n">
        <v>1009</v>
      </c>
    </row>
    <row r="89">
      <c r="A89" t="n">
        <v>88</v>
      </c>
      <c r="B89" s="15" t="n">
        <v>859</v>
      </c>
    </row>
    <row r="90">
      <c r="A90" t="n">
        <v>89</v>
      </c>
      <c r="B90" s="15" t="n">
        <v>804</v>
      </c>
    </row>
    <row r="91">
      <c r="A91" t="n">
        <v>90</v>
      </c>
      <c r="B91" s="15" t="n">
        <v>985</v>
      </c>
    </row>
    <row r="92">
      <c r="A92" t="n">
        <v>91</v>
      </c>
      <c r="B92" s="15" t="n">
        <v>1063</v>
      </c>
    </row>
    <row r="93">
      <c r="A93" t="n">
        <v>92</v>
      </c>
      <c r="B93" s="15" t="n">
        <v>933</v>
      </c>
    </row>
    <row r="94">
      <c r="A94" t="n">
        <v>93</v>
      </c>
      <c r="B94" s="15" t="n">
        <v>907</v>
      </c>
    </row>
    <row r="95">
      <c r="A95" t="n">
        <v>94</v>
      </c>
      <c r="B95" s="15" t="n">
        <v>995</v>
      </c>
    </row>
    <row r="96">
      <c r="A96" t="n">
        <v>95</v>
      </c>
      <c r="B96" s="15" t="n">
        <v>920</v>
      </c>
    </row>
    <row r="97">
      <c r="A97" t="n">
        <v>96</v>
      </c>
      <c r="B97" s="15" t="n">
        <v>802</v>
      </c>
    </row>
    <row r="98">
      <c r="A98" t="n">
        <v>97</v>
      </c>
      <c r="B98" s="15" t="n">
        <v>925</v>
      </c>
    </row>
    <row r="99">
      <c r="A99" t="n">
        <v>98</v>
      </c>
      <c r="B99" s="15" t="n">
        <v>1082</v>
      </c>
    </row>
    <row r="100">
      <c r="A100" t="n">
        <v>99</v>
      </c>
      <c r="B100" s="15" t="n">
        <v>989</v>
      </c>
    </row>
    <row r="101">
      <c r="A101" t="n">
        <v>100</v>
      </c>
      <c r="B101" s="15" t="n">
        <v>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3" customWidth="1" min="4" max="4"/>
    <col width="15" customWidth="1" min="5" max="5"/>
    <col width="11" customWidth="1" min="6" max="6"/>
    <col width="30" customWidth="1" min="7" max="7"/>
    <col width="3" customWidth="1" min="8" max="8"/>
    <col width="10" customWidth="1" min="9" max="9"/>
    <col width="8" customWidth="1" min="10" max="10"/>
  </cols>
  <sheetData>
    <row r="1">
      <c r="A1" s="1" t="inlineStr">
        <is>
          <t>Data Quality Audit — ข้อมูลตัวอย่างที่มีปัญหาโดยตั้งใจ (แก้ค่าแล้วดูสถานะเปลี่ยน)</t>
        </is>
      </c>
    </row>
    <row r="3">
      <c r="A3" s="5" t="inlineStr">
        <is>
          <t>Farm_ID</t>
        </is>
      </c>
      <c r="B3" s="5" t="inlineStr">
        <is>
          <t>Date</t>
        </is>
      </c>
      <c r="C3" s="5" t="inlineStr">
        <is>
          <t>Body_Weight_g</t>
        </is>
      </c>
      <c r="D3" s="5" t="inlineStr">
        <is>
          <t>Feed_Cum_kg</t>
        </is>
      </c>
      <c r="E3" s="5" t="inlineStr">
        <is>
          <t>Mortality_Cum</t>
        </is>
      </c>
      <c r="F3" s="5" t="inlineStr">
        <is>
          <t>Status</t>
        </is>
      </c>
      <c r="G3" s="5" t="inlineStr">
        <is>
          <t>Reason</t>
        </is>
      </c>
      <c r="I3" s="3" t="inlineStr">
        <is>
          <t>สรุป</t>
        </is>
      </c>
    </row>
    <row r="4">
      <c r="A4" s="6" t="inlineStr">
        <is>
          <t>F001</t>
        </is>
      </c>
      <c r="B4" s="7" t="n">
        <v>46289</v>
      </c>
      <c r="C4" s="6" t="n">
        <v>185</v>
      </c>
      <c r="D4" s="6" t="n">
        <v>1595</v>
      </c>
      <c r="E4" s="6" t="n">
        <v>40</v>
      </c>
      <c r="F4" s="9">
        <f>IF(A4="","ERROR",IF(NOT(ISNUMBER(C4)),"ERROR",IF(C4&lt;0,"ERROR",IF(B4&gt;Instructions!$B$27,"ERROR",IF(COUNTIFS($A$4:$A$12,A4,$B$4:$B$12,B4)&gt;1,"WARNING",IF(D4="","WARNING","PASS"))))))</f>
        <v/>
      </c>
      <c r="G4" s="9">
        <f>IF(A4="","ไม่มี Farm_ID",IF(NOT(ISNUMBER(C4)),"Body_Weight_g ไม่ใช่ตัวเลข",IF(C4&lt;0,"ค่าติดลบ",IF(B4&gt;Instructions!$B$27,"วันที่เกินวันรายงาน",IF(COUNTIFS($A$4:$A$12,A4,$B$4:$B$12,B4)&gt;1,"ข้อมูลซ้ำ (Farm_ID + Date)",IF(D4="","Feed_Cum_kg ว่าง","ผ่าน"))))))</f>
        <v/>
      </c>
      <c r="I4" t="inlineStr">
        <is>
          <t>ERROR</t>
        </is>
      </c>
      <c r="J4" s="9">
        <f>COUNTIF($F$4:$F$12,"ERROR")</f>
        <v/>
      </c>
    </row>
    <row r="5">
      <c r="A5" s="6" t="inlineStr">
        <is>
          <t>F001</t>
        </is>
      </c>
      <c r="B5" s="7" t="n">
        <v>46296</v>
      </c>
      <c r="C5" s="6" t="n">
        <v>510</v>
      </c>
      <c r="D5" s="6" t="n">
        <v>4400</v>
      </c>
      <c r="E5" s="6" t="n">
        <v>80</v>
      </c>
      <c r="F5" s="9">
        <f>IF(A5="","ERROR",IF(NOT(ISNUMBER(C5)),"ERROR",IF(C5&lt;0,"ERROR",IF(B5&gt;Instructions!$B$27,"ERROR",IF(COUNTIFS($A$4:$A$12,A5,$B$4:$B$12,B5)&gt;1,"WARNING",IF(D5="","WARNING","PASS"))))))</f>
        <v/>
      </c>
      <c r="G5" s="9">
        <f>IF(A5="","ไม่มี Farm_ID",IF(NOT(ISNUMBER(C5)),"Body_Weight_g ไม่ใช่ตัวเลข",IF(C5&lt;0,"ค่าติดลบ",IF(B5&gt;Instructions!$B$27,"วันที่เกินวันรายงาน",IF(COUNTIFS($A$4:$A$12,A5,$B$4:$B$12,B5)&gt;1,"ข้อมูลซ้ำ (Farm_ID + Date)",IF(D5="","Feed_Cum_kg ว่าง","ผ่าน"))))))</f>
        <v/>
      </c>
      <c r="I5" t="inlineStr">
        <is>
          <t>WARNING</t>
        </is>
      </c>
      <c r="J5" s="9">
        <f>COUNTIF($F$4:$F$12,"WARNING")</f>
        <v/>
      </c>
    </row>
    <row r="6">
      <c r="A6" s="6" t="inlineStr">
        <is>
          <t>F002</t>
        </is>
      </c>
      <c r="B6" s="7" t="n">
        <v>46296</v>
      </c>
      <c r="C6" s="6" t="n">
        <v>495</v>
      </c>
      <c r="D6" s="6" t="n">
        <v>4321</v>
      </c>
      <c r="E6" s="6" t="n">
        <v>108</v>
      </c>
      <c r="F6" s="9">
        <f>IF(A6="","ERROR",IF(NOT(ISNUMBER(C6)),"ERROR",IF(C6&lt;0,"ERROR",IF(B6&gt;Instructions!$B$27,"ERROR",IF(COUNTIFS($A$4:$A$12,A6,$B$4:$B$12,B6)&gt;1,"WARNING",IF(D6="","WARNING","PASS"))))))</f>
        <v/>
      </c>
      <c r="G6" s="9">
        <f>IF(A6="","ไม่มี Farm_ID",IF(NOT(ISNUMBER(C6)),"Body_Weight_g ไม่ใช่ตัวเลข",IF(C6&lt;0,"ค่าติดลบ",IF(B6&gt;Instructions!$B$27,"วันที่เกินวันรายงาน",IF(COUNTIFS($A$4:$A$12,A6,$B$4:$B$12,B6)&gt;1,"ข้อมูลซ้ำ (Farm_ID + Date)",IF(D6="","Feed_Cum_kg ว่าง","ผ่าน"))))))</f>
        <v/>
      </c>
      <c r="I6" t="inlineStr">
        <is>
          <t>PASS</t>
        </is>
      </c>
      <c r="J6" s="9">
        <f>COUNTIF($F$4:$F$12,"PASS")</f>
        <v/>
      </c>
    </row>
    <row r="7">
      <c r="A7" s="6" t="inlineStr">
        <is>
          <t>F002</t>
        </is>
      </c>
      <c r="B7" s="7" t="n">
        <v>46296</v>
      </c>
      <c r="C7" s="6" t="n">
        <v>495</v>
      </c>
      <c r="D7" s="6" t="n">
        <v>4321</v>
      </c>
      <c r="E7" s="6" t="n">
        <v>108</v>
      </c>
      <c r="F7" s="9">
        <f>IF(A7="","ERROR",IF(NOT(ISNUMBER(C7)),"ERROR",IF(C7&lt;0,"ERROR",IF(B7&gt;Instructions!$B$27,"ERROR",IF(COUNTIFS($A$4:$A$12,A7,$B$4:$B$12,B7)&gt;1,"WARNING",IF(D7="","WARNING","PASS"))))))</f>
        <v/>
      </c>
      <c r="G7" s="9">
        <f>IF(A7="","ไม่มี Farm_ID",IF(NOT(ISNUMBER(C7)),"Body_Weight_g ไม่ใช่ตัวเลข",IF(C7&lt;0,"ค่าติดลบ",IF(B7&gt;Instructions!$B$27,"วันที่เกินวันรายงาน",IF(COUNTIFS($A$4:$A$12,A7,$B$4:$B$12,B7)&gt;1,"ข้อมูลซ้ำ (Farm_ID + Date)",IF(D7="","Feed_Cum_kg ว่าง","ผ่าน"))))))</f>
        <v/>
      </c>
    </row>
    <row r="8">
      <c r="A8" s="6" t="n"/>
      <c r="B8" s="7" t="n">
        <v>46303</v>
      </c>
      <c r="C8" s="6" t="n">
        <v>940</v>
      </c>
      <c r="D8" s="6" t="n">
        <v>9000</v>
      </c>
      <c r="E8" s="6" t="n">
        <v>120</v>
      </c>
      <c r="F8" s="9">
        <f>IF(A8="","ERROR",IF(NOT(ISNUMBER(C8)),"ERROR",IF(C8&lt;0,"ERROR",IF(B8&gt;Instructions!$B$27,"ERROR",IF(COUNTIFS($A$4:$A$12,A8,$B$4:$B$12,B8)&gt;1,"WARNING",IF(D8="","WARNING","PASS"))))))</f>
        <v/>
      </c>
      <c r="G8" s="9">
        <f>IF(A8="","ไม่มี Farm_ID",IF(NOT(ISNUMBER(C8)),"Body_Weight_g ไม่ใช่ตัวเลข",IF(C8&lt;0,"ค่าติดลบ",IF(B8&gt;Instructions!$B$27,"วันที่เกินวันรายงาน",IF(COUNTIFS($A$4:$A$12,A8,$B$4:$B$12,B8)&gt;1,"ข้อมูลซ้ำ (Farm_ID + Date)",IF(D8="","Feed_Cum_kg ว่าง","ผ่าน"))))))</f>
        <v/>
      </c>
    </row>
    <row r="9">
      <c r="A9" s="6" t="inlineStr">
        <is>
          <t>F003</t>
        </is>
      </c>
      <c r="B9" s="7" t="n">
        <v>46303</v>
      </c>
      <c r="C9" s="6" t="n">
        <v>-950</v>
      </c>
      <c r="D9" s="6" t="n">
        <v>14000</v>
      </c>
      <c r="E9" s="6" t="n">
        <v>150</v>
      </c>
      <c r="F9" s="9">
        <f>IF(A9="","ERROR",IF(NOT(ISNUMBER(C9)),"ERROR",IF(C9&lt;0,"ERROR",IF(B9&gt;Instructions!$B$27,"ERROR",IF(COUNTIFS($A$4:$A$12,A9,$B$4:$B$12,B9)&gt;1,"WARNING",IF(D9="","WARNING","PASS"))))))</f>
        <v/>
      </c>
      <c r="G9" s="9">
        <f>IF(A9="","ไม่มี Farm_ID",IF(NOT(ISNUMBER(C9)),"Body_Weight_g ไม่ใช่ตัวเลข",IF(C9&lt;0,"ค่าติดลบ",IF(B9&gt;Instructions!$B$27,"วันที่เกินวันรายงาน",IF(COUNTIFS($A$4:$A$12,A9,$B$4:$B$12,B9)&gt;1,"ข้อมูลซ้ำ (Farm_ID + Date)",IF(D9="","Feed_Cum_kg ว่าง","ผ่าน"))))))</f>
        <v/>
      </c>
    </row>
    <row r="10">
      <c r="A10" s="6" t="inlineStr">
        <is>
          <t>F003</t>
        </is>
      </c>
      <c r="B10" s="7" t="n">
        <v>46346</v>
      </c>
      <c r="C10" s="6" t="n">
        <v>1500</v>
      </c>
      <c r="D10" s="6" t="n">
        <v>20000</v>
      </c>
      <c r="E10" s="6" t="n">
        <v>190</v>
      </c>
      <c r="F10" s="9">
        <f>IF(A10="","ERROR",IF(NOT(ISNUMBER(C10)),"ERROR",IF(C10&lt;0,"ERROR",IF(B10&gt;Instructions!$B$27,"ERROR",IF(COUNTIFS($A$4:$A$12,A10,$B$4:$B$12,B10)&gt;1,"WARNING",IF(D10="","WARNING","PASS"))))))</f>
        <v/>
      </c>
      <c r="G10" s="9">
        <f>IF(A10="","ไม่มี Farm_ID",IF(NOT(ISNUMBER(C10)),"Body_Weight_g ไม่ใช่ตัวเลข",IF(C10&lt;0,"ค่าติดลบ",IF(B10&gt;Instructions!$B$27,"วันที่เกินวันรายงาน",IF(COUNTIFS($A$4:$A$12,A10,$B$4:$B$12,B10)&gt;1,"ข้อมูลซ้ำ (Farm_ID + Date)",IF(D10="","Feed_Cum_kg ว่าง","ผ่าน"))))))</f>
        <v/>
      </c>
    </row>
    <row r="11">
      <c r="A11" s="6" t="inlineStr">
        <is>
          <t>F004</t>
        </is>
      </c>
      <c r="B11" s="7" t="n">
        <v>46303</v>
      </c>
      <c r="C11" s="6" t="inlineStr">
        <is>
          <t>1,000</t>
        </is>
      </c>
      <c r="D11" s="6" t="n">
        <v>11000</v>
      </c>
      <c r="E11" s="6" t="n">
        <v>200</v>
      </c>
      <c r="F11" s="9">
        <f>IF(A11="","ERROR",IF(NOT(ISNUMBER(C11)),"ERROR",IF(C11&lt;0,"ERROR",IF(B11&gt;Instructions!$B$27,"ERROR",IF(COUNTIFS($A$4:$A$12,A11,$B$4:$B$12,B11)&gt;1,"WARNING",IF(D11="","WARNING","PASS"))))))</f>
        <v/>
      </c>
      <c r="G11" s="9">
        <f>IF(A11="","ไม่มี Farm_ID",IF(NOT(ISNUMBER(C11)),"Body_Weight_g ไม่ใช่ตัวเลข",IF(C11&lt;0,"ค่าติดลบ",IF(B11&gt;Instructions!$B$27,"วันที่เกินวันรายงาน",IF(COUNTIFS($A$4:$A$12,A11,$B$4:$B$12,B11)&gt;1,"ข้อมูลซ้ำ (Farm_ID + Date)",IF(D11="","Feed_Cum_kg ว่าง","ผ่าน"))))))</f>
        <v/>
      </c>
    </row>
    <row r="12">
      <c r="A12" s="6" t="inlineStr">
        <is>
          <t>F004</t>
        </is>
      </c>
      <c r="B12" s="7" t="n">
        <v>46310</v>
      </c>
      <c r="C12" s="6" t="n">
        <v>1400</v>
      </c>
      <c r="D12" s="6" t="n"/>
      <c r="E12" s="6" t="n">
        <v>260</v>
      </c>
      <c r="F12" s="9">
        <f>IF(A12="","ERROR",IF(NOT(ISNUMBER(C12)),"ERROR",IF(C12&lt;0,"ERROR",IF(B12&gt;Instructions!$B$27,"ERROR",IF(COUNTIFS($A$4:$A$12,A12,$B$4:$B$12,B12)&gt;1,"WARNING",IF(D12="","WARNING","PASS"))))))</f>
        <v/>
      </c>
      <c r="G12" s="9">
        <f>IF(A12="","ไม่มี Farm_ID",IF(NOT(ISNUMBER(C12)),"Body_Weight_g ไม่ใช่ตัวเลข",IF(C12&lt;0,"ค่าติดลบ",IF(B12&gt;Instructions!$B$27,"วันที่เกินวันรายงาน",IF(COUNTIFS($A$4:$A$12,A12,$B$4:$B$12,B12)&gt;1,"ข้อมูลซ้ำ (Farm_ID + Date)",IF(D12="","Feed_Cum_kg ว่าง","ผ่าน"))))))</f>
        <v/>
      </c>
    </row>
    <row r="15">
      <c r="A15" s="2" t="inlineStr">
        <is>
          <t>กฎตรวจรูปแบบ (format): ค่าว่าง, ชนิดข้อมูล, ค่าติดลบ, วันที่เกินวันรายงาน · กฎธุรกิจ (business): ข้อมูลซ้ำ Farm_ID+Date, Feed ว่าง = WARNING ให้ผู้รับผิดชอบตรวจ</t>
        </is>
      </c>
    </row>
  </sheetData>
  <conditionalFormatting sqref="F4:F12">
    <cfRule type="expression" priority="1" dxfId="0">
      <formula>F4="ERROR"</formula>
    </cfRule>
    <cfRule type="expression" priority="2" dxfId="1">
      <formula>F4="WARNING"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2" customWidth="1" min="2" max="2"/>
    <col width="30" customWidth="1" min="3" max="3"/>
    <col width="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Farm Performance Dashboard (Prototype — ข้อมูลตัวอย่างในไฟล์นี้)</t>
        </is>
      </c>
    </row>
    <row r="3">
      <c r="A3" s="3" t="inlineStr">
        <is>
          <t>เลือกฟาร์ม</t>
        </is>
      </c>
      <c r="C3" s="15" t="inlineStr">
        <is>
          <t>F001</t>
        </is>
      </c>
    </row>
    <row r="4">
      <c r="E4" t="inlineStr">
        <is>
          <t>Age_Days</t>
        </is>
      </c>
      <c r="F4" s="3" t="inlineStr">
        <is>
          <t>F001</t>
        </is>
      </c>
      <c r="G4" s="3" t="inlineStr">
        <is>
          <t>F002</t>
        </is>
      </c>
      <c r="H4" s="3" t="inlineStr">
        <is>
          <t>F003</t>
        </is>
      </c>
      <c r="I4" s="3" t="inlineStr">
        <is>
          <t>F004</t>
        </is>
      </c>
    </row>
    <row r="5">
      <c r="A5" s="3" t="inlineStr">
        <is>
          <t>อายุล่าสุด (วัน)</t>
        </is>
      </c>
      <c r="C5" s="18">
        <f>_xlfn.MAXIFS(Raw_Data!$C$2:$C$25,Raw_Data!$A$2:$A$25,$C$3)</f>
        <v/>
      </c>
      <c r="E5" t="n">
        <v>7</v>
      </c>
      <c r="F5" s="11">
        <f>SUMIFS(Raw_Data!$D$2:$D$25,Raw_Data!$A$2:$A$25,F$4,Raw_Data!$C$2:$C$25,$E5)</f>
        <v/>
      </c>
      <c r="G5" s="11">
        <f>SUMIFS(Raw_Data!$D$2:$D$25,Raw_Data!$A$2:$A$25,G$4,Raw_Data!$C$2:$C$25,$E5)</f>
        <v/>
      </c>
      <c r="H5" s="11">
        <f>SUMIFS(Raw_Data!$D$2:$D$25,Raw_Data!$A$2:$A$25,H$4,Raw_Data!$C$2:$C$25,$E5)</f>
        <v/>
      </c>
      <c r="I5" s="11">
        <f>SUMIFS(Raw_Data!$D$2:$D$25,Raw_Data!$A$2:$A$25,I$4,Raw_Data!$C$2:$C$25,$E5)</f>
        <v/>
      </c>
    </row>
    <row r="6">
      <c r="A6" s="3" t="inlineStr">
        <is>
          <t>Body Weight (g)</t>
        </is>
      </c>
      <c r="C6" s="11">
        <f>SUMIFS(Raw_Data!$D$2:$D$25,Raw_Data!$A$2:$A$25,$C$3,Raw_Data!$C$2:$C$25,$C$5)</f>
        <v/>
      </c>
      <c r="E6" t="n">
        <v>14</v>
      </c>
      <c r="F6" s="11">
        <f>SUMIFS(Raw_Data!$D$2:$D$25,Raw_Data!$A$2:$A$25,F$4,Raw_Data!$C$2:$C$25,$E6)</f>
        <v/>
      </c>
      <c r="G6" s="11">
        <f>SUMIFS(Raw_Data!$D$2:$D$25,Raw_Data!$A$2:$A$25,G$4,Raw_Data!$C$2:$C$25,$E6)</f>
        <v/>
      </c>
      <c r="H6" s="11">
        <f>SUMIFS(Raw_Data!$D$2:$D$25,Raw_Data!$A$2:$A$25,H$4,Raw_Data!$C$2:$C$25,$E6)</f>
        <v/>
      </c>
      <c r="I6" s="11">
        <f>SUMIFS(Raw_Data!$D$2:$D$25,Raw_Data!$A$2:$A$25,I$4,Raw_Data!$C$2:$C$25,$E6)</f>
        <v/>
      </c>
    </row>
    <row r="7">
      <c r="A7" s="3" t="inlineStr">
        <is>
          <t>FCR</t>
        </is>
      </c>
      <c r="C7" s="13">
        <f>SUMIFS(Calculations!$F$2:$F$25,Calculations!$A$2:$A$25,$C$3,Calculations!$C$2:$C$25,$C$5)</f>
        <v/>
      </c>
      <c r="E7" t="n">
        <v>21</v>
      </c>
      <c r="F7" s="11">
        <f>SUMIFS(Raw_Data!$D$2:$D$25,Raw_Data!$A$2:$A$25,F$4,Raw_Data!$C$2:$C$25,$E7)</f>
        <v/>
      </c>
      <c r="G7" s="11">
        <f>SUMIFS(Raw_Data!$D$2:$D$25,Raw_Data!$A$2:$A$25,G$4,Raw_Data!$C$2:$C$25,$E7)</f>
        <v/>
      </c>
      <c r="H7" s="11">
        <f>SUMIFS(Raw_Data!$D$2:$D$25,Raw_Data!$A$2:$A$25,H$4,Raw_Data!$C$2:$C$25,$E7)</f>
        <v/>
      </c>
      <c r="I7" s="11">
        <f>SUMIFS(Raw_Data!$D$2:$D$25,Raw_Data!$A$2:$A$25,I$4,Raw_Data!$C$2:$C$25,$E7)</f>
        <v/>
      </c>
    </row>
    <row r="8">
      <c r="A8" s="3" t="inlineStr">
        <is>
          <t>Mortality %</t>
        </is>
      </c>
      <c r="C8" s="14">
        <f>SUMIFS(Calculations!$G$2:$G$25,Calculations!$A$2:$A$25,$C$3,Calculations!$C$2:$C$25,$C$5)</f>
        <v/>
      </c>
      <c r="E8" t="n">
        <v>28</v>
      </c>
      <c r="F8" s="11">
        <f>SUMIFS(Raw_Data!$D$2:$D$25,Raw_Data!$A$2:$A$25,F$4,Raw_Data!$C$2:$C$25,$E8)</f>
        <v/>
      </c>
      <c r="G8" s="11">
        <f>SUMIFS(Raw_Data!$D$2:$D$25,Raw_Data!$A$2:$A$25,G$4,Raw_Data!$C$2:$C$25,$E8)</f>
        <v/>
      </c>
      <c r="H8" s="11">
        <f>SUMIFS(Raw_Data!$D$2:$D$25,Raw_Data!$A$2:$A$25,H$4,Raw_Data!$C$2:$C$25,$E8)</f>
        <v/>
      </c>
      <c r="I8" s="11">
        <f>SUMIFS(Raw_Data!$D$2:$D$25,Raw_Data!$A$2:$A$25,I$4,Raw_Data!$C$2:$C$25,$E8)</f>
        <v/>
      </c>
    </row>
    <row r="9">
      <c r="A9" s="3" t="inlineStr">
        <is>
          <t>Feed Intake สะสม (kg)</t>
        </is>
      </c>
      <c r="C9" s="11">
        <f>SUMIFS(Raw_Data!$E$2:$E$25,Raw_Data!$A$2:$A$25,$C$3,Raw_Data!$C$2:$C$25,$C$5)</f>
        <v/>
      </c>
      <c r="E9" t="n">
        <v>35</v>
      </c>
      <c r="F9" s="11">
        <f>SUMIFS(Raw_Data!$D$2:$D$25,Raw_Data!$A$2:$A$25,F$4,Raw_Data!$C$2:$C$25,$E9)</f>
        <v/>
      </c>
      <c r="G9" s="11">
        <f>SUMIFS(Raw_Data!$D$2:$D$25,Raw_Data!$A$2:$A$25,G$4,Raw_Data!$C$2:$C$25,$E9)</f>
        <v/>
      </c>
      <c r="H9" s="11">
        <f>SUMIFS(Raw_Data!$D$2:$D$25,Raw_Data!$A$2:$A$25,H$4,Raw_Data!$C$2:$C$25,$E9)</f>
        <v/>
      </c>
      <c r="I9" s="11">
        <f>SUMIFS(Raw_Data!$D$2:$D$25,Raw_Data!$A$2:$A$25,I$4,Raw_Data!$C$2:$C$25,$E9)</f>
        <v/>
      </c>
    </row>
    <row r="10">
      <c r="A10" s="3" t="inlineStr">
        <is>
          <t>Target FCR</t>
        </is>
      </c>
      <c r="C10" s="14">
        <f>IFERROR(INDEX(Master_Data!$F$2:$F$5,MATCH($C$3,Master_Data!$A$2:$A$5,0)),"ไม่พบฟาร์ม")</f>
        <v/>
      </c>
      <c r="E10" t="n">
        <v>42</v>
      </c>
      <c r="F10" s="11">
        <f>SUMIFS(Raw_Data!$D$2:$D$25,Raw_Data!$A$2:$A$25,F$4,Raw_Data!$C$2:$C$25,$E10)</f>
        <v/>
      </c>
      <c r="G10" s="11">
        <f>SUMIFS(Raw_Data!$D$2:$D$25,Raw_Data!$A$2:$A$25,G$4,Raw_Data!$C$2:$C$25,$E10)</f>
        <v/>
      </c>
      <c r="H10" s="11">
        <f>SUMIFS(Raw_Data!$D$2:$D$25,Raw_Data!$A$2:$A$25,H$4,Raw_Data!$C$2:$C$25,$E10)</f>
        <v/>
      </c>
      <c r="I10" s="11">
        <f>SUMIFS(Raw_Data!$D$2:$D$25,Raw_Data!$A$2:$A$25,I$4,Raw_Data!$C$2:$C$25,$E10)</f>
        <v/>
      </c>
    </row>
    <row r="12">
      <c r="A12" t="inlineStr">
        <is>
          <t>Data Source</t>
        </is>
      </c>
      <c r="C12" t="inlineStr">
        <is>
          <t>Raw_Data (ในไฟล์นี้) — ไม่เชื่อมแหล่งข้อมูลภายนอก</t>
        </is>
      </c>
    </row>
    <row r="13">
      <c r="A13" t="inlineStr">
        <is>
          <t>Last Updated</t>
        </is>
      </c>
      <c r="C13" s="10">
        <f>_xlfn.MAXIFS(Raw_Data!$B$2:$B$25,Raw_Data!$A$2:$A$25,"&lt;&gt;")</f>
        <v/>
      </c>
    </row>
    <row r="14">
      <c r="A14" t="inlineStr">
        <is>
          <t>Data Quality</t>
        </is>
      </c>
      <c r="C14" s="9">
        <f>IF(Validation!$J$4&gt;0,"มี "&amp;Validation!$J$4&amp;" แถว ERROR ในชีต Validation","ไม่มี ERROR")</f>
        <v/>
      </c>
    </row>
  </sheetData>
  <dataValidations count="1">
    <dataValidation sqref="C3" showDropDown="0" showInputMessage="0" showErrorMessage="0" allowBlank="0" type="list">
      <formula1>=Master_Data!$A$2:$A$5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9" customWidth="1" min="4" max="4"/>
    <col width="9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Product_ID</t>
        </is>
      </c>
      <c r="D1" s="5" t="inlineStr">
        <is>
          <t>Channel</t>
        </is>
      </c>
      <c r="E1" s="5" t="inlineStr">
        <is>
          <t>Quantity</t>
        </is>
      </c>
      <c r="F1" s="5" t="inlineStr">
        <is>
          <t>Unit_Price</t>
        </is>
      </c>
      <c r="G1" s="5" t="inlineStr">
        <is>
          <t>Amount</t>
        </is>
      </c>
      <c r="H1" s="5" t="inlineStr">
        <is>
          <t>Product_Name</t>
        </is>
      </c>
      <c r="I1" s="5" t="inlineStr">
        <is>
          <t>Category</t>
        </is>
      </c>
    </row>
    <row r="2">
      <c r="A2" s="15" t="inlineStr">
        <is>
          <t>O001</t>
        </is>
      </c>
      <c r="B2" s="4" t="n">
        <v>46296</v>
      </c>
      <c r="C2" s="15" t="inlineStr">
        <is>
          <t>P001</t>
        </is>
      </c>
      <c r="D2" s="15" t="inlineStr">
        <is>
          <t>Online</t>
        </is>
      </c>
      <c r="E2" s="15" t="n">
        <v>12</v>
      </c>
      <c r="F2" s="15" t="n">
        <v>150</v>
      </c>
      <c r="G2" s="11">
        <f>E2*F2</f>
        <v/>
      </c>
      <c r="H2" s="9">
        <f>IFERROR(INDEX(Product_Master!$B$2:$B$4,MATCH(C2,Product_Master!$A$2:$A$4,0)),"ไม่พบสินค้า")</f>
        <v/>
      </c>
      <c r="I2" s="9">
        <f>IFERROR(VLOOKUP(C2,Product_Master!$A$2:$C$4,3,FALSE),"ไม่พบสินค้า")</f>
        <v/>
      </c>
    </row>
    <row r="3">
      <c r="A3" s="15" t="inlineStr">
        <is>
          <t>O002</t>
        </is>
      </c>
      <c r="B3" s="4" t="n">
        <v>46297</v>
      </c>
      <c r="C3" s="15" t="inlineStr">
        <is>
          <t>P002</t>
        </is>
      </c>
      <c r="D3" s="15" t="inlineStr">
        <is>
          <t>Retail</t>
        </is>
      </c>
      <c r="E3" s="15" t="n">
        <v>8</v>
      </c>
      <c r="F3" s="15" t="n">
        <v>220</v>
      </c>
      <c r="G3" s="11">
        <f>E3*F3</f>
        <v/>
      </c>
      <c r="H3" s="9">
        <f>IFERROR(INDEX(Product_Master!$B$2:$B$4,MATCH(C3,Product_Master!$A$2:$A$4,0)),"ไม่พบสินค้า")</f>
        <v/>
      </c>
      <c r="I3" s="9">
        <f>IFERROR(VLOOKUP(C3,Product_Master!$A$2:$C$4,3,FALSE),"ไม่พบสินค้า")</f>
        <v/>
      </c>
    </row>
    <row r="4">
      <c r="A4" s="15" t="inlineStr">
        <is>
          <t>O003</t>
        </is>
      </c>
      <c r="B4" s="4" t="n">
        <v>46298</v>
      </c>
      <c r="C4" s="15" t="inlineStr">
        <is>
          <t>P001</t>
        </is>
      </c>
      <c r="D4" s="15" t="inlineStr">
        <is>
          <t>Online</t>
        </is>
      </c>
      <c r="E4" s="15" t="n">
        <v>10</v>
      </c>
      <c r="F4" s="15" t="n">
        <v>150</v>
      </c>
      <c r="G4" s="11">
        <f>E4*F4</f>
        <v/>
      </c>
      <c r="H4" s="9">
        <f>IFERROR(INDEX(Product_Master!$B$2:$B$4,MATCH(C4,Product_Master!$A$2:$A$4,0)),"ไม่พบสินค้า")</f>
        <v/>
      </c>
      <c r="I4" s="9">
        <f>IFERROR(VLOOKUP(C4,Product_Master!$A$2:$C$4,3,FALSE),"ไม่พบสินค้า")</f>
        <v/>
      </c>
    </row>
    <row r="5">
      <c r="A5" s="15" t="inlineStr">
        <is>
          <t>O004</t>
        </is>
      </c>
      <c r="B5" s="4" t="n">
        <v>46298</v>
      </c>
      <c r="C5" s="15" t="inlineStr">
        <is>
          <t>P003</t>
        </is>
      </c>
      <c r="D5" s="15" t="inlineStr">
        <is>
          <t>Retail</t>
        </is>
      </c>
      <c r="E5" s="15" t="n">
        <v>5</v>
      </c>
      <c r="F5" s="15" t="n">
        <v>480</v>
      </c>
      <c r="G5" s="11">
        <f>E5*F5</f>
        <v/>
      </c>
      <c r="H5" s="9">
        <f>IFERROR(INDEX(Product_Master!$B$2:$B$4,MATCH(C5,Product_Master!$A$2:$A$4,0)),"ไม่พบสินค้า")</f>
        <v/>
      </c>
      <c r="I5" s="9">
        <f>IFERROR(VLOOKUP(C5,Product_Master!$A$2:$C$4,3,FALSE),"ไม่พบสินค้า")</f>
        <v/>
      </c>
    </row>
    <row r="6">
      <c r="A6" s="15" t="inlineStr">
        <is>
          <t>O005</t>
        </is>
      </c>
      <c r="B6" s="4" t="n">
        <v>46299</v>
      </c>
      <c r="C6" s="15" t="inlineStr">
        <is>
          <t>P002</t>
        </is>
      </c>
      <c r="D6" s="15" t="inlineStr">
        <is>
          <t>Online</t>
        </is>
      </c>
      <c r="E6" s="15" t="n">
        <v>3</v>
      </c>
      <c r="F6" s="15" t="n">
        <v>220</v>
      </c>
      <c r="G6" s="11">
        <f>E6*F6</f>
        <v/>
      </c>
      <c r="H6" s="9">
        <f>IFERROR(INDEX(Product_Master!$B$2:$B$4,MATCH(C6,Product_Master!$A$2:$A$4,0)),"ไม่พบสินค้า")</f>
        <v/>
      </c>
      <c r="I6" s="9">
        <f>IFERROR(VLOOKUP(C6,Product_Master!$A$2:$C$4,3,FALSE),"ไม่พบสินค้า")</f>
        <v/>
      </c>
    </row>
    <row r="7">
      <c r="A7" s="15" t="inlineStr">
        <is>
          <t>O006</t>
        </is>
      </c>
      <c r="B7" s="4" t="n">
        <v>46300</v>
      </c>
      <c r="C7" s="15" t="inlineStr">
        <is>
          <t>P009</t>
        </is>
      </c>
      <c r="D7" s="15" t="inlineStr">
        <is>
          <t>Online</t>
        </is>
      </c>
      <c r="E7" s="15" t="n">
        <v>2</v>
      </c>
      <c r="F7" s="15" t="n">
        <v>99</v>
      </c>
      <c r="G7" s="11">
        <f>E7*F7</f>
        <v/>
      </c>
      <c r="H7" s="9">
        <f>IFERROR(INDEX(Product_Master!$B$2:$B$4,MATCH(C7,Product_Master!$A$2:$A$4,0)),"ไม่พบสินค้า")</f>
        <v/>
      </c>
      <c r="I7" s="9">
        <f>IFERROR(VLOOKUP(C7,Product_Master!$A$2:$C$4,3,FALSE),"ไม่พบสินค้า")</f>
        <v/>
      </c>
    </row>
    <row r="9">
      <c r="A9" t="inlineStr">
        <is>
          <t>ยอดขาย Online</t>
        </is>
      </c>
      <c r="G9" s="11">
        <f>SUMIF($D$2:$D$7,"Online",$G$2:$G$7)</f>
        <v/>
      </c>
    </row>
    <row r="10">
      <c r="A10" t="inlineStr">
        <is>
          <t>ยอดขายรวม</t>
        </is>
      </c>
      <c r="G10" s="11">
        <f>SUM($G$2:$G$7)</f>
        <v/>
      </c>
    </row>
    <row r="11">
      <c r="A11" t="inlineStr">
        <is>
          <t>รหัสสินค้าไม่พบใน Master</t>
        </is>
      </c>
      <c r="G11" s="9">
        <f>COUNTIF($H$2:$H$7,"ไม่พบสินค้า")</f>
        <v/>
      </c>
    </row>
    <row r="13">
      <c r="A13" s="2" t="inlineStr">
        <is>
          <t>แถว O001–O003 มาจากต้นฉบับข้อ 15 · O004–O006 เพิ่มเพื่อทดสอบ (สินค้าใหม่ และรหัสที่ไม่มีใน Master)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8" customWidth="1" min="4" max="4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Price</t>
        </is>
      </c>
    </row>
    <row r="2">
      <c r="A2" s="15" t="inlineStr">
        <is>
          <t>P001</t>
        </is>
      </c>
      <c r="B2" s="15" t="inlineStr">
        <is>
          <t>Product A</t>
        </is>
      </c>
      <c r="C2" s="15" t="inlineStr">
        <is>
          <t>Feed</t>
        </is>
      </c>
      <c r="D2" s="15" t="n">
        <v>150</v>
      </c>
    </row>
    <row r="3">
      <c r="A3" s="15" t="inlineStr">
        <is>
          <t>P002</t>
        </is>
      </c>
      <c r="B3" s="15" t="inlineStr">
        <is>
          <t>Product B</t>
        </is>
      </c>
      <c r="C3" s="15" t="inlineStr">
        <is>
          <t>Equipment</t>
        </is>
      </c>
      <c r="D3" s="15" t="n">
        <v>220</v>
      </c>
    </row>
    <row r="4">
      <c r="A4" s="15" t="inlineStr">
        <is>
          <t>P003</t>
        </is>
      </c>
      <c r="B4" s="15" t="inlineStr">
        <is>
          <t>Product C</t>
        </is>
      </c>
      <c r="C4" s="15" t="inlineStr">
        <is>
          <t>Equipment</t>
        </is>
      </c>
      <c r="D4" s="15" t="n">
        <v>480</v>
      </c>
    </row>
    <row r="6">
      <c r="A6" s="2" t="inlineStr">
        <is>
          <t>P001–P002 จากต้นฉบับข้อ 15 · P003 และคอลัมน์ Price เพิ่มเพื่อฝึก Lookup ราคา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5" customWidth="1" min="5" max="5"/>
    <col width="16" customWidth="1" min="6" max="6"/>
    <col width="13" customWidth="1" min="7" max="7"/>
  </cols>
  <sheetData>
    <row r="1">
      <c r="A1" s="5" t="inlineStr">
        <is>
          <t>Farm_ID</t>
        </is>
      </c>
      <c r="B1" s="5" t="inlineStr">
        <is>
          <t>Date</t>
        </is>
      </c>
      <c r="C1" s="5" t="inlineStr">
        <is>
          <t>Age_Days</t>
        </is>
      </c>
      <c r="D1" s="5" t="inlineStr">
        <is>
          <t>Body_Weight_g</t>
        </is>
      </c>
      <c r="E1" s="5" t="inlineStr">
        <is>
          <t>Feed_Intake_kg</t>
        </is>
      </c>
      <c r="F1" s="5" t="inlineStr">
        <is>
          <t>Mortality_Count</t>
        </is>
      </c>
      <c r="G1" s="5" t="inlineStr">
        <is>
          <t>Birds_Placed</t>
        </is>
      </c>
    </row>
    <row r="2">
      <c r="A2" s="15" t="inlineStr">
        <is>
          <t>F001</t>
        </is>
      </c>
      <c r="B2" s="4" t="n">
        <v>46296</v>
      </c>
      <c r="C2" s="15" t="n">
        <v>14</v>
      </c>
      <c r="D2" s="15" t="n">
        <v>520</v>
      </c>
      <c r="E2" s="15" t="n">
        <v>2400</v>
      </c>
      <c r="F2" s="15" t="n">
        <v>3</v>
      </c>
      <c r="G2" s="15" t="n">
        <v>10000</v>
      </c>
    </row>
    <row r="3">
      <c r="A3" s="15" t="inlineStr">
        <is>
          <t>F001</t>
        </is>
      </c>
      <c r="B3" s="4" t="n">
        <v>46303</v>
      </c>
      <c r="C3" s="15" t="n">
        <v>21</v>
      </c>
      <c r="D3" s="15" t="n">
        <v>950</v>
      </c>
      <c r="E3" s="15" t="n">
        <v>3600</v>
      </c>
      <c r="F3" s="15" t="n">
        <v>4</v>
      </c>
      <c r="G3" s="15" t="n">
        <v>10000</v>
      </c>
    </row>
    <row r="4">
      <c r="A4" s="15" t="inlineStr">
        <is>
          <t>F002</t>
        </is>
      </c>
      <c r="B4" s="4" t="n">
        <v>46296</v>
      </c>
      <c r="C4" s="15" t="n">
        <v>14</v>
      </c>
      <c r="D4" s="15" t="n">
        <v>505</v>
      </c>
      <c r="E4" s="15" t="n">
        <v>2350</v>
      </c>
      <c r="F4" s="15" t="n">
        <v>2</v>
      </c>
      <c r="G4" s="15" t="n">
        <v>9800</v>
      </c>
    </row>
    <row r="5">
      <c r="A5" s="15" t="inlineStr">
        <is>
          <t>F002</t>
        </is>
      </c>
      <c r="B5" s="4" t="n">
        <v>46303</v>
      </c>
      <c r="C5" s="15" t="n">
        <v>21</v>
      </c>
      <c r="D5" s="15" t="n">
        <v>925</v>
      </c>
      <c r="E5" s="15" t="n">
        <v>3500</v>
      </c>
      <c r="F5" s="15" t="n">
        <v>5</v>
      </c>
      <c r="G5" s="15" t="n">
        <v>9800</v>
      </c>
    </row>
    <row r="7">
      <c r="A7" s="19" t="inlineStr">
        <is>
          <t>ข้อจำกัด (ต้นฉบับ): Feed Intake ในตัวอย่างไม่ได้ระบุชัดว่าเป็นรายวันหรือสะสม จึงห้ามคำนวณ FCR โดยไม่กำหนดนิยามและช่วงเวลาที่ตรงกันก่อน; Mortality Count ก็ต้องระบุว่าเป็นรายวันหรือสะสม — ชีต Raw_Data จึงใช้คอลัมน์ Feed_Cum_kg และ Mortality_Cum ที่ระบุว่าเป็น "สะสม"</t>
        </is>
      </c>
    </row>
    <row r="8"/>
    <row r="9"/>
  </sheetData>
  <mergeCells count="1">
    <mergeCell ref="A7:G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60" customWidth="1" min="4" max="4"/>
  </cols>
  <sheetData>
    <row r="1">
      <c r="A1" s="5" t="inlineStr">
        <is>
          <t>หัวข้อ</t>
        </is>
      </c>
      <c r="B1" s="5" t="inlineStr">
        <is>
          <t>สูตร Microsoft 365 (คัดลอกไปวาง)</t>
        </is>
      </c>
      <c r="C1" s="5" t="inlineStr">
        <is>
          <t>เวอร์ชัน</t>
        </is>
      </c>
      <c r="D1" s="5" t="inlineStr">
        <is>
          <t>สูตรทางเลือก (Excel รุ่นเก่า)</t>
        </is>
      </c>
    </row>
    <row r="2">
      <c r="A2" s="20" t="inlineStr">
        <is>
          <t>B03 ราคาจาก Master</t>
        </is>
      </c>
      <c r="B2" s="20" t="inlineStr">
        <is>
          <t>=XLOOKUP(A2,Master!$A$2:$A$100,Master!$C$2:$C$100,"ไม่พบสินค้า")</t>
        </is>
      </c>
      <c r="C2" s="20" t="inlineStr">
        <is>
          <t>Excel 2021+ / M365 / Web</t>
        </is>
      </c>
      <c r="D2" s="20" t="inlineStr">
        <is>
          <t>=IFERROR(INDEX(Master!$C$2:$C$100,MATCH(A2,Master!$A$2:$A$100,0)),"ไม่พบสินค้า")</t>
        </is>
      </c>
    </row>
    <row r="3">
      <c r="A3" s="20" t="inlineStr">
        <is>
          <t>B04 แยกรหัส BR-2026-001</t>
        </is>
      </c>
      <c r="B3" s="20" t="inlineStr">
        <is>
          <t>=TEXTSPLIT(A2,"-")</t>
        </is>
      </c>
      <c r="C3" s="20" t="inlineStr">
        <is>
          <t>Excel 2024 / M365 / Web</t>
        </is>
      </c>
      <c r="D3" s="20" t="inlineStr">
        <is>
          <t>=LEFT(A2,FIND("-",A2)-1) · =MID(A2,FIND("-",A2)+1,4) · =RIGHT(A2,3)</t>
        </is>
      </c>
    </row>
    <row r="4">
      <c r="A4" s="20" t="inlineStr">
        <is>
          <t>I01 รหัสซ้ำ + ไม่พบฟาร์ม</t>
        </is>
      </c>
      <c r="B4" s="20" t="inlineStr">
        <is>
          <t>=IF(COUNTIF(A2:A1000,G2)&gt;1,"รหัสซ้ำ",XLOOKUP(G2,A2:A1000,D2:D1000,"ไม่พบฟาร์ม"))</t>
        </is>
      </c>
      <c r="C4" s="20" t="inlineStr">
        <is>
          <t>Excel 2021+ / M365</t>
        </is>
      </c>
      <c r="D4" s="20" t="inlineStr">
        <is>
          <t>=IF(COUNTIF(A2:A1000,G2)&gt;1,"รหัสซ้ำ",IFERROR(INDEX(D2:D1000,MATCH(G2,A2:A1000,0)),"ไม่พบฟาร์ม"))</t>
        </is>
      </c>
    </row>
    <row r="5">
      <c r="A5" s="20" t="inlineStr">
        <is>
          <t>I04 รายการของฟาร์มที่เลือก เรียงใหม่→เก่า</t>
        </is>
      </c>
      <c r="B5" s="20" t="inlineStr">
        <is>
          <t>=SORTBY(FILTER(A2:E1000,A2:A1000=H2),FILTER(B2:B1000,A2:A1000=H2),-1)</t>
        </is>
      </c>
      <c r="C5" s="20" t="inlineStr">
        <is>
          <t>Excel 2021+ / M365</t>
        </is>
      </c>
      <c r="D5" s="20" t="inlineStr">
        <is>
          <t>ใช้ AutoFilter + Sort หรือ PivotTable</t>
        </is>
      </c>
    </row>
    <row r="6">
      <c r="A6" s="20" t="inlineStr">
        <is>
          <t>I04 (จัดการกรณีไม่พบ)</t>
        </is>
      </c>
      <c r="B6" s="20" t="inlineStr">
        <is>
          <t>=IFERROR(SORTBY(FILTER(A2:E1000,A2:A1000=H2),FILTER(B2:B1000,A2:A1000=H2),-1),"ไม่พบข้อมูลของฟาร์มนี้")</t>
        </is>
      </c>
      <c r="C6" s="20" t="inlineStr">
        <is>
          <t>Excel 2021+ / M365</t>
        </is>
      </c>
      <c r="D6" s="20" t="inlineStr">
        <is>
          <t>-</t>
        </is>
      </c>
    </row>
    <row r="7">
      <c r="A7" s="20" t="inlineStr">
        <is>
          <t>I05 รวม Jan + Feb</t>
        </is>
      </c>
      <c r="B7" s="20" t="inlineStr">
        <is>
          <t>=VSTACK(Jan!A2:E100,Feb!A2:E100)</t>
        </is>
      </c>
      <c r="C7" s="20" t="inlineStr">
        <is>
          <t>Excel 2024 / M365</t>
        </is>
      </c>
      <c r="D7" s="20" t="inlineStr">
        <is>
          <t>Power Query: Append Queries</t>
        </is>
      </c>
    </row>
    <row r="8">
      <c r="A8" s="20" t="inlineStr">
        <is>
          <t>A01 %CV ด้วย LET</t>
        </is>
      </c>
      <c r="B8" s="20" t="inlineStr">
        <is>
          <t>=LET(w,B2:B101,n,COUNT(w),avg,AVERAGE(w),IF(OR(n&lt;2,avg=0),NA(),STDEV.S(w)/avg*100))</t>
        </is>
      </c>
      <c r="C8" s="20" t="inlineStr">
        <is>
          <t>Excel 2021+ / M365</t>
        </is>
      </c>
      <c r="D8" s="20" t="inlineStr">
        <is>
          <t>=IF(OR(COUNT(B2:B101)&lt;2,AVERAGE(B2:B101)=0),NA(),STDEV.S(B2:B101)/AVERAGE(B2:B101)*100)</t>
        </is>
      </c>
    </row>
    <row r="9">
      <c r="A9" s="20" t="inlineStr">
        <is>
          <t>A02 CALC_FCR (Name Manager)</t>
        </is>
      </c>
      <c r="B9" s="20" t="inlineStr">
        <is>
          <t>=LAMBDA(feed_kg,weight_gain_kg,IF(AND(ISNUMBER(feed_kg),ISNUMBER(weight_gain_kg),weight_gain_kg&gt;0),feed_kg/weight_gain_kg,NA()))</t>
        </is>
      </c>
      <c r="C9" s="20" t="inlineStr">
        <is>
          <t>Excel 2024 / M365</t>
        </is>
      </c>
      <c r="D9" s="20" t="inlineStr">
        <is>
          <t>=IF(AND(ISNUMBER(A2),ISNUMBER(B2),B2&gt;0),A2/B2,NA())</t>
        </is>
      </c>
    </row>
    <row r="10">
      <c r="A10" s="20" t="inlineStr">
        <is>
          <t>A07 สรุป Feed รายฟาร์ม</t>
        </is>
      </c>
      <c r="B10" s="20" t="inlineStr">
        <is>
          <t>=GROUPBY(Raw_Data!A2:A25,Raw_Data!E2:E25,MAX)</t>
        </is>
      </c>
      <c r="C10" s="20" t="inlineStr">
        <is>
          <t>Microsoft 365 (ตรวจช่องทางอัปเดต)</t>
        </is>
      </c>
      <c r="D10" s="20" t="inlineStr">
        <is>
          <t>SUMIFS / PivotTable — ดูชีต Calculations ส่วนสรุปรายฟาร์ม</t>
        </is>
      </c>
    </row>
    <row r="12">
      <c r="A12" s="2" t="inlineStr">
        <is>
          <t>สูตรในชีตนี้เก็บเป็นข้อความ (ไม่คำนวณ) เพราะต้องใช้ Microsoft 365 / Excel 2021+ — คัดลอกไปวางในเซลล์ว่างของไฟล์ที่ใช้ Excel รุ่นที่รองรับเพื่อทดสอบ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2026-10-14T13:56:20Z</dcterms:created>
  <dcterms:modified xmlns:dcterms="http://purl.org/dc/terms/" xmlns:xsi="http://www.w3.org/2001/XMLSchema-instance" xsi:type="dcterms:W3CDTF">2026-10-14T13:56:20Z</dcterms:modified>
</cp:coreProperties>
</file>